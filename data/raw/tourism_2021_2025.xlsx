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scthad-my.sharepoint.com/personal/zamilh_mt_gov_sa/Documents/MasterSheets/2025 Mastersheets MT SITE/MT SITE/Main Master Sheet 2025/"/>
    </mc:Choice>
  </mc:AlternateContent>
  <xr:revisionPtr revIDLastSave="507" documentId="13_ncr:1_{7067EEBE-D86A-4B5A-9E62-44DB0CF9FB83}" xr6:coauthVersionLast="47" xr6:coauthVersionMax="47" xr10:uidLastSave="{AF25C17E-0508-496A-812D-3D42B9531318}"/>
  <bookViews>
    <workbookView xWindow="-28920" yWindow="-120" windowWidth="29040" windowHeight="15720" tabRatio="859" xr2:uid="{00000000-000D-0000-FFFF-FFFF00000000}"/>
  </bookViews>
  <sheets>
    <sheet name="Content" sheetId="1" r:id="rId1"/>
    <sheet name="G1" sheetId="2" r:id="rId2"/>
    <sheet name="G2" sheetId="9" r:id="rId3"/>
    <sheet name="I1" sheetId="3" r:id="rId4"/>
    <sheet name="I2" sheetId="13" r:id="rId5"/>
    <sheet name="I3" sheetId="14" r:id="rId6"/>
    <sheet name="I4" sheetId="15" r:id="rId7"/>
    <sheet name="I5" sheetId="18" r:id="rId8"/>
    <sheet name="I6" sheetId="38" r:id="rId9"/>
    <sheet name="I7" sheetId="16" r:id="rId10"/>
    <sheet name="I8" sheetId="17" r:id="rId11"/>
    <sheet name="I9" sheetId="39" r:id="rId12"/>
    <sheet name="D1" sheetId="11" r:id="rId13"/>
    <sheet name="D2" sheetId="20" r:id="rId14"/>
    <sheet name="D3" sheetId="21" r:id="rId15"/>
    <sheet name="D4" sheetId="24" r:id="rId16"/>
    <sheet name="D5" sheetId="37" r:id="rId17"/>
    <sheet name="D6" sheetId="22" r:id="rId18"/>
    <sheet name="D7" sheetId="23" r:id="rId19"/>
    <sheet name="D8" sheetId="40" r:id="rId20"/>
    <sheet name="S1" sheetId="45" r:id="rId21"/>
    <sheet name="Definitions" sheetId="8" r:id="rId22"/>
    <sheet name="Metadata" sheetId="7" r:id="rId23"/>
    <sheet name="LIST OF COUNTRIES" sheetId="44"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45" l="1"/>
  <c r="G11" i="45"/>
  <c r="G12" i="45"/>
  <c r="G13" i="45"/>
  <c r="D14" i="45"/>
  <c r="E14" i="45"/>
  <c r="F14" i="45"/>
  <c r="G14" i="45"/>
  <c r="G15" i="45"/>
  <c r="G16" i="45"/>
  <c r="G17" i="45"/>
  <c r="G18" i="45"/>
  <c r="D19" i="45"/>
  <c r="E19" i="45"/>
  <c r="F19" i="45"/>
  <c r="G19" i="45"/>
  <c r="G20" i="45"/>
  <c r="G21" i="45"/>
  <c r="G22" i="45"/>
  <c r="G23" i="45"/>
  <c r="G24" i="45"/>
  <c r="G25" i="45"/>
  <c r="G26" i="45"/>
  <c r="G27" i="45"/>
  <c r="G28" i="45"/>
  <c r="G29" i="45"/>
  <c r="D30" i="45"/>
  <c r="E30" i="45"/>
  <c r="D31" i="45"/>
  <c r="G35" i="45"/>
  <c r="G36" i="45"/>
  <c r="G37" i="45"/>
  <c r="G38" i="45"/>
  <c r="D39" i="45"/>
  <c r="E39" i="45"/>
  <c r="F39" i="45"/>
  <c r="G39" i="45"/>
  <c r="G40" i="45"/>
  <c r="G41" i="45"/>
  <c r="G42" i="45"/>
  <c r="G43" i="45"/>
  <c r="D44" i="45"/>
  <c r="E44" i="45"/>
  <c r="F44" i="45"/>
  <c r="G44" i="45"/>
  <c r="G45" i="45"/>
  <c r="G46" i="45"/>
  <c r="G47" i="45"/>
  <c r="G48" i="45"/>
  <c r="G49" i="45"/>
  <c r="G50" i="45"/>
  <c r="G51" i="45"/>
  <c r="G52" i="45"/>
  <c r="G53" i="45"/>
  <c r="G54" i="45"/>
  <c r="D55" i="45"/>
  <c r="E55" i="45"/>
  <c r="D56" i="45"/>
  <c r="F69" i="15" l="1"/>
  <c r="F70" i="15" s="1"/>
  <c r="E69" i="15"/>
  <c r="E70" i="15" s="1"/>
  <c r="F56" i="15" l="1"/>
  <c r="F57" i="15" s="1"/>
  <c r="E56" i="15"/>
  <c r="E57" i="15" s="1"/>
  <c r="F44" i="15" l="1"/>
  <c r="F43" i="15"/>
  <c r="E44" i="15"/>
  <c r="E43" i="15"/>
  <c r="E34" i="40" l="1"/>
  <c r="F34" i="40"/>
  <c r="G34" i="40"/>
  <c r="H34" i="40"/>
  <c r="I34" i="40"/>
  <c r="J34" i="40"/>
  <c r="D34" i="40"/>
  <c r="E21" i="40"/>
  <c r="F21" i="40"/>
  <c r="G21" i="40"/>
  <c r="H21" i="40"/>
  <c r="I21" i="40"/>
  <c r="J21" i="40"/>
  <c r="D21" i="40"/>
  <c r="D19" i="39"/>
  <c r="E19" i="39"/>
  <c r="F19" i="39"/>
  <c r="G19" i="39"/>
  <c r="H19" i="39"/>
  <c r="I19" i="39"/>
  <c r="J19" i="39"/>
  <c r="D32" i="39"/>
  <c r="E32" i="39"/>
  <c r="F32" i="39"/>
  <c r="G32" i="39"/>
  <c r="H32" i="39"/>
  <c r="I32" i="39"/>
  <c r="J32" i="39"/>
</calcChain>
</file>

<file path=xl/sharedStrings.xml><?xml version="1.0" encoding="utf-8"?>
<sst xmlns="http://schemas.openxmlformats.org/spreadsheetml/2006/main" count="5977" uniqueCount="919">
  <si>
    <t>Topic</t>
  </si>
  <si>
    <t>Inbound Tourism Indicators</t>
  </si>
  <si>
    <t>Domestic Tourism Indicators</t>
  </si>
  <si>
    <t>G</t>
  </si>
  <si>
    <t>I</t>
  </si>
  <si>
    <t>G1</t>
  </si>
  <si>
    <t>G2</t>
  </si>
  <si>
    <t>Regional Tourism Indicators</t>
  </si>
  <si>
    <t>I1</t>
  </si>
  <si>
    <t>I2</t>
  </si>
  <si>
    <t>I4</t>
  </si>
  <si>
    <t>I5</t>
  </si>
  <si>
    <t>I6</t>
  </si>
  <si>
    <t>D</t>
  </si>
  <si>
    <t>D1</t>
  </si>
  <si>
    <t>D2</t>
  </si>
  <si>
    <t>D4</t>
  </si>
  <si>
    <t>D5</t>
  </si>
  <si>
    <t>Definitions</t>
  </si>
  <si>
    <t>Metadata</t>
  </si>
  <si>
    <t>الوحدة</t>
  </si>
  <si>
    <t>مؤشرات السياحة الوافدة</t>
  </si>
  <si>
    <t>الإنفاق السياحي</t>
  </si>
  <si>
    <t>('000)</t>
  </si>
  <si>
    <t>Unit</t>
  </si>
  <si>
    <t xml:space="preserve">('000) </t>
  </si>
  <si>
    <t>SAR Mn</t>
  </si>
  <si>
    <t>مليون ريال</t>
  </si>
  <si>
    <t>مؤشرات السياحة المحلية</t>
  </si>
  <si>
    <t>Inbound Tourism</t>
  </si>
  <si>
    <t>Domestic Tourism</t>
  </si>
  <si>
    <t>Internal Tourism</t>
  </si>
  <si>
    <t>ASSIR PROVINCE</t>
  </si>
  <si>
    <t>BAHA PROVINCE</t>
  </si>
  <si>
    <t>EASTERN PROVINCE</t>
  </si>
  <si>
    <t>HAIL PROVINCE</t>
  </si>
  <si>
    <t>JAZAN PROVINCE</t>
  </si>
  <si>
    <t>JOUF PROVINCE</t>
  </si>
  <si>
    <t>MADINAH PROVINCE</t>
  </si>
  <si>
    <t>MAKKAH PROVINCE</t>
  </si>
  <si>
    <t>NAJRAN PROVINCE</t>
  </si>
  <si>
    <t>NORTHERN PROVINCE</t>
  </si>
  <si>
    <t>QASSIM PROVINCE</t>
  </si>
  <si>
    <t>RIYADH PROVINCE</t>
  </si>
  <si>
    <t>TABUK PROVINCE</t>
  </si>
  <si>
    <t>السياحة الوافدة</t>
  </si>
  <si>
    <t>السياحة المحلية</t>
  </si>
  <si>
    <t>السياحة الداخلية</t>
  </si>
  <si>
    <t>السياحة المغادرة</t>
  </si>
  <si>
    <t>منطقة عسير</t>
  </si>
  <si>
    <t>منطقة الباحة</t>
  </si>
  <si>
    <t>المنطقة الشرقية</t>
  </si>
  <si>
    <t>منطقة حائل</t>
  </si>
  <si>
    <t>منطقة جازان</t>
  </si>
  <si>
    <t>منطقة الجوف</t>
  </si>
  <si>
    <t>منطقة المدينة المنورة</t>
  </si>
  <si>
    <t>منطقة مكة المكرمة</t>
  </si>
  <si>
    <t>منطقة نجران</t>
  </si>
  <si>
    <t>منطقة الحدود الشمالية</t>
  </si>
  <si>
    <t>منطقة القصيم</t>
  </si>
  <si>
    <t>منطقة الرياض</t>
  </si>
  <si>
    <t>منطقة تبوك</t>
  </si>
  <si>
    <t>Average Length of Stay</t>
  </si>
  <si>
    <t>Night</t>
  </si>
  <si>
    <t>SAR</t>
  </si>
  <si>
    <t>متوسط مدة الإقامة</t>
  </si>
  <si>
    <t>متوسط إنفاق السائح على الرحلة</t>
  </si>
  <si>
    <t>متوسط إنفاق السائح في الليلة</t>
  </si>
  <si>
    <t>ليلة</t>
  </si>
  <si>
    <t>ريال</t>
  </si>
  <si>
    <t>January</t>
  </si>
  <si>
    <t>February</t>
  </si>
  <si>
    <t>March</t>
  </si>
  <si>
    <t>April</t>
  </si>
  <si>
    <t>May</t>
  </si>
  <si>
    <t>June</t>
  </si>
  <si>
    <t>July</t>
  </si>
  <si>
    <t>August</t>
  </si>
  <si>
    <t>September</t>
  </si>
  <si>
    <t>October</t>
  </si>
  <si>
    <t>November</t>
  </si>
  <si>
    <t>December</t>
  </si>
  <si>
    <t>Total</t>
  </si>
  <si>
    <t>Visiting Friends&amp; Relatives
زيارة الأصدقاء أو الأقارب</t>
  </si>
  <si>
    <t>Total
الإجمالي</t>
  </si>
  <si>
    <t xml:space="preserve"> Total</t>
  </si>
  <si>
    <t>يناير</t>
  </si>
  <si>
    <t>فبراير</t>
  </si>
  <si>
    <t>مارس</t>
  </si>
  <si>
    <t>أبريل</t>
  </si>
  <si>
    <t>مايو</t>
  </si>
  <si>
    <t>يونيو</t>
  </si>
  <si>
    <t>يوليو</t>
  </si>
  <si>
    <t>أغسطس</t>
  </si>
  <si>
    <t>سبتمبر</t>
  </si>
  <si>
    <t>أكتوبر</t>
  </si>
  <si>
    <t>نوفمبر</t>
  </si>
  <si>
    <t>ديسمبر</t>
  </si>
  <si>
    <t>الإجمالي</t>
  </si>
  <si>
    <t>Month</t>
  </si>
  <si>
    <t>الشهر</t>
  </si>
  <si>
    <t>GCC
دول مجلس التعاون الخليجي</t>
  </si>
  <si>
    <t>MIDDLE EAST
الشرق الأوسط</t>
  </si>
  <si>
    <t xml:space="preserve"> AFRICA
أفريقيا</t>
  </si>
  <si>
    <t xml:space="preserve"> ASIA
آسيا</t>
  </si>
  <si>
    <t>EUROPE
أوروبا</t>
  </si>
  <si>
    <t>AMERICA
أمريكا</t>
  </si>
  <si>
    <t>Other Countries
الدول الأخرى</t>
  </si>
  <si>
    <t>Sub-total</t>
  </si>
  <si>
    <t>Other countries</t>
  </si>
  <si>
    <t>Air
جواً</t>
  </si>
  <si>
    <t>Land
براً</t>
  </si>
  <si>
    <t>Sea
بحراً</t>
  </si>
  <si>
    <t>Other
أخرى</t>
  </si>
  <si>
    <t>Average Length of Stay
متوسط مدة الإقامة</t>
  </si>
  <si>
    <t>Market Share
الحصة السوقية</t>
  </si>
  <si>
    <t>Inbound Tourism Key Indicators</t>
  </si>
  <si>
    <t>I3</t>
  </si>
  <si>
    <t>Domestic Tourism Key Indicators</t>
  </si>
  <si>
    <t>D3</t>
  </si>
  <si>
    <t>(SAR Mn)</t>
  </si>
  <si>
    <t>(Night) (ليلة)</t>
  </si>
  <si>
    <t>(SAR) (ريال)</t>
  </si>
  <si>
    <t xml:space="preserve">Key Tourism Indicators in the Kingdom </t>
  </si>
  <si>
    <t>Page
الصفحة</t>
  </si>
  <si>
    <t>المؤشرات الرئيسة للسياحة في المملكة</t>
  </si>
  <si>
    <t>المؤشرات السياحية على مستوى مناطق المملكة</t>
  </si>
  <si>
    <t>المؤشرات الرئيسة للسياحة الوافدة</t>
  </si>
  <si>
    <t>Top 10 Inbound Tourist Markets- Country</t>
  </si>
  <si>
    <t>الأسواق العشرة الأولى المصدرة للسياحة الوافدة للمملكة</t>
  </si>
  <si>
    <t>التعاريف</t>
  </si>
  <si>
    <t>البيانات الوصفية</t>
  </si>
  <si>
    <t>الموضوع</t>
  </si>
  <si>
    <t>المؤشرات الرئيسة للسياحة المحلية</t>
  </si>
  <si>
    <t>I7</t>
  </si>
  <si>
    <t>I8</t>
  </si>
  <si>
    <t>D6</t>
  </si>
  <si>
    <t>D7</t>
  </si>
  <si>
    <t>Country</t>
  </si>
  <si>
    <t>الدولة</t>
  </si>
  <si>
    <t>المجموع الفرعي</t>
  </si>
  <si>
    <t>الدول الأخرى</t>
  </si>
  <si>
    <t>المؤشرات العامة</t>
  </si>
  <si>
    <t>General Indicators</t>
  </si>
  <si>
    <t>Basic Definitions on Tourism Statistics</t>
  </si>
  <si>
    <t>تعاريف أساسية  في إحصاءات السياحة</t>
  </si>
  <si>
    <t>Concept</t>
  </si>
  <si>
    <t>Definition</t>
  </si>
  <si>
    <t>التعريف</t>
  </si>
  <si>
    <t xml:space="preserve">المفهوم </t>
  </si>
  <si>
    <t>Destination (main destination of a trip)</t>
  </si>
  <si>
    <t>The main destination of a tourism trip is defined as the place visited that is central to the decision to take the trip.</t>
  </si>
  <si>
    <t>تعرف الوجهة الرئيسة للرحلة السياحية بأنها المكان محل الزيارة والذي يمثل محور قرار القيام بالرحلة.</t>
  </si>
  <si>
    <t>الوجهة السياحية (الوجهة الرئيسة للرحلة)</t>
  </si>
  <si>
    <t>Domestic tourism</t>
  </si>
  <si>
    <t>Domestic tourism comprises the activities of a resident visitor within the country of reference, either as part of a domestic tourism trip or part of an outbound tourism trip.</t>
  </si>
  <si>
    <t>تشمل السياحة المحلية أنشطة الزائر المقيم في البلد المرجعي، سواء كجزء من رحلة سياحية محلية أو جزء من رحلة سياحية مغادرة.</t>
  </si>
  <si>
    <t>Inbound tourism</t>
  </si>
  <si>
    <t>Inbound tourism comprises the activities of a non-resident visitor within the country of reference on an inbound tourism trip.</t>
  </si>
  <si>
    <t>Internal tourism</t>
  </si>
  <si>
    <t>Internal tourism comprises domestic tourism and inbound tourism, that is to say, the activities of resident and non-resident visitors within the country of reference as part of domestic or international tourism trips.</t>
  </si>
  <si>
    <t>Outbound tourism</t>
  </si>
  <si>
    <t>Outbound tourism comprises the activities of a resident visitor outside the country of reference, either as part of an outbound tourism trip or as part of a domestic tourism trip.</t>
  </si>
  <si>
    <t>Same-day visitor (or excursionist)</t>
  </si>
  <si>
    <t>Tourism expenditure</t>
  </si>
  <si>
    <t>Tourism expenditure refers to the amount paid for the acquisition of consumption goods and services, as well as valuables, for own use or to give away, for and during tourism trips. It includes expenditures by visitors themselves, as well as expenses that are paid for or reimbursed by others.</t>
  </si>
  <si>
    <t>Tourism trip</t>
  </si>
  <si>
    <t>Tourism</t>
  </si>
  <si>
    <t>Tourism refers to the activity of visitors.</t>
  </si>
  <si>
    <t>Tourist (or overnight visitor)</t>
  </si>
  <si>
    <t>Travel / traveler</t>
  </si>
  <si>
    <t>Travel refers to the activity of travelers. A traveler is someone who moves between different geographic locations, for any purpose and any duration.</t>
  </si>
  <si>
    <t>Visit</t>
  </si>
  <si>
    <t>A trip is made up of visits to different places. The term “tourism visit” refers to a stay in a place visited during a tourism trip.</t>
  </si>
  <si>
    <t>Visitor</t>
  </si>
  <si>
    <t>A visitor is a traveler taking a trip to a main destination outside his/her usual environment, for less than a year, for any main purpose (business, leisure or other personal purpose) other than to be employed by a resident entity in the country or place visited.</t>
  </si>
  <si>
    <t>تشير الرحلة إلى سفر الشخص من وقت المغادرة من محل إقامته المعتاد حتى عودته. وبالتالي تشير إلى رحلة ذهاب وإياب. تمثل الرحلات التي يقوم بها الزوار رحلات سياحية. وتتسم الرحلة السياحية بوجهتها الرئيسية، من بين خصائص أخرى (على سبيل المثال، الغرض الرئيسي).</t>
  </si>
  <si>
    <t>يصنف الزائر كسائح إذا تضمنت رحلته المبيت ليلة واحدة على الأقل في البلد أو المكان محل الزيارة.</t>
  </si>
  <si>
    <t>A visitor is classified as a tourist (or overnight visitor), if his/her trip includes an overnight stay.</t>
  </si>
  <si>
    <t>يصنف الزائر كزائر ليوم واحد (أو متنزه)، إذا قضى أقل من 24 ساعة في البلد أو المكان محل الزيارة.</t>
  </si>
  <si>
    <t>A visitor is classified as a same-day visitor (or excursionist), if he/ she spends less than 24 hours in the country or place visited.</t>
  </si>
  <si>
    <t>تشمل السياحة المغادرة الأنشطة التي يقوم بها زائر مقيم خارج البلد المرجعي، سواء كجزء من رحلة سياحية مغادرة أو كجزء من رحلة سياحية محلية.</t>
  </si>
  <si>
    <t>تشير السياحة إلى أنشطة الزوار.</t>
  </si>
  <si>
    <t>A trip refers to the travel by a person from the time of departure from his usual residence until he/she returns; it thus refers to a round trip. Trips taken by visitors are tourism trips. A tourism trip is characterized by its main destination, among other characteristics (for example, main purpose).</t>
  </si>
  <si>
    <t>يشير الإنفاق السياحي إلى المبلغ المدفوع للحصول على السلع الاستهلاكية والخدمات، وكذلك الأشياء الثمينة، لأغراض الاستخدام الخاص أو للإهداء، لأغراض الرحلات السياحية وأثناءها. ويشمل نفقات الزوار أنفسهم، وكذلك النفقات التي تدفع أو ترد لهم من الغير.</t>
  </si>
  <si>
    <t>يشير السفر إلى نشاط المسافرين.  والمسافر هو الشخص الذي ينتقل بين مواقع جغرافية مختلفة لأي غرض ولأي مدة</t>
  </si>
  <si>
    <t>الزائر هو مسافر يقوم برحلة إلى وجهة رئيسة خارج بيئته المعتادة، لمدة تقل عن عام واحد، لأي غرض رئيسي (عمل تجاري، أو ترفيه أو غرض شخصي آخر) بخلاف العمل لدى كيان مقيم في البلد أو المكان محل الزيارة.</t>
  </si>
  <si>
    <t>The main purpose of a tourism trip is defined as the purpose in the absence of which the trip would not have taken place. Each tourism trip has one and only one main purpose though a visitor can also undertake secondary activities while on his/her trip. The classification of a tourism trip according to its main purpose includes 2 main categories divided into 9 sub-categories:
1. Personal
1.1. Holidays, leisure, and recreation
1.2. Visiting friends and relatives
1.3. Education and training
1.4. Health and medical care
1.5. Religion/pilgrimages
1.6. Shopping
1.7. Transit
1.8. Other
2. Business and professional</t>
  </si>
  <si>
    <t>غرض الرحلة السياحية (الأساسي)</t>
  </si>
  <si>
    <t xml:space="preserve">Purpose of a tourism trip (main) </t>
  </si>
  <si>
    <t>زائر اليوم الواحد (المتنزه)</t>
  </si>
  <si>
    <t>السياحة</t>
  </si>
  <si>
    <t>الرحلة السياحية</t>
  </si>
  <si>
    <t>السائح (زائر المبيت)</t>
  </si>
  <si>
    <t>السفر/ المسافر</t>
  </si>
  <si>
    <t>الزيارة</t>
  </si>
  <si>
    <t>الزائر</t>
  </si>
  <si>
    <t xml:space="preserve">البيانات الوصفية </t>
  </si>
  <si>
    <t>مؤشرات الطلب السياحي بالمملكة العربية السعودية</t>
  </si>
  <si>
    <t>السجلات الإدارية والمسوح الميدانية</t>
  </si>
  <si>
    <t xml:space="preserve">Data </t>
  </si>
  <si>
    <t>تعرض البيانات المؤشرات الخاصة بالسياح أو زوار المبيت فقط</t>
  </si>
  <si>
    <t>شهري</t>
  </si>
  <si>
    <t>Data Source</t>
  </si>
  <si>
    <t>Data Collection</t>
  </si>
  <si>
    <t>Frequency</t>
  </si>
  <si>
    <t>For more information</t>
  </si>
  <si>
    <t>Data Scope</t>
  </si>
  <si>
    <t>Tourism Demand Indcators in the Kingdom of Saudi Arabia</t>
  </si>
  <si>
    <t>Administartive Records&amp; Filed Surveys</t>
  </si>
  <si>
    <t>Data shows only indicators on tourists or overnight visitors.</t>
  </si>
  <si>
    <t>Monthly</t>
  </si>
  <si>
    <t>البيانات</t>
  </si>
  <si>
    <t>مصدر البيانات</t>
  </si>
  <si>
    <t>جمع البيانات</t>
  </si>
  <si>
    <t>مجال تركيز البيانات</t>
  </si>
  <si>
    <t>دورية البيانات</t>
  </si>
  <si>
    <t>لمزيد من المعلومات</t>
  </si>
  <si>
    <t>Reference Manual</t>
  </si>
  <si>
    <t>الإطار المرجعي</t>
  </si>
  <si>
    <t>التوصيات الدولية المتعلقة بإحصاءات السياحة 2008- منظمة السياحة العالمية</t>
  </si>
  <si>
    <t xml:space="preserve">UNWTO 2008 International Recommendations for Tourism Statistic (IRTS) </t>
  </si>
  <si>
    <t>المؤشر</t>
  </si>
  <si>
    <t>Indicator</t>
  </si>
  <si>
    <t>Kuwait</t>
  </si>
  <si>
    <t>Egypt</t>
  </si>
  <si>
    <t>Bahrain</t>
  </si>
  <si>
    <t>Pakistan</t>
  </si>
  <si>
    <t>India</t>
  </si>
  <si>
    <t>UAE</t>
  </si>
  <si>
    <t>Qatar</t>
  </si>
  <si>
    <t>Jordan</t>
  </si>
  <si>
    <t>Yemen</t>
  </si>
  <si>
    <t>Sudan</t>
  </si>
  <si>
    <t>Bangladesh</t>
  </si>
  <si>
    <t>الكويت</t>
  </si>
  <si>
    <t>مصر</t>
  </si>
  <si>
    <t>البحرين</t>
  </si>
  <si>
    <t>باكستان</t>
  </si>
  <si>
    <t>الهند</t>
  </si>
  <si>
    <t>قطر</t>
  </si>
  <si>
    <t>الأردن</t>
  </si>
  <si>
    <t>اليمن</t>
  </si>
  <si>
    <t>السودان</t>
  </si>
  <si>
    <t>Syria</t>
  </si>
  <si>
    <t>الإمارات</t>
  </si>
  <si>
    <t>سوريا</t>
  </si>
  <si>
    <t>Grand Total</t>
  </si>
  <si>
    <t>Albaha</t>
  </si>
  <si>
    <t>Alqassim</t>
  </si>
  <si>
    <t>Aseer</t>
  </si>
  <si>
    <t>Eastern</t>
  </si>
  <si>
    <t>Hail</t>
  </si>
  <si>
    <t>Jazan</t>
  </si>
  <si>
    <t>Jouf</t>
  </si>
  <si>
    <t>Madinah</t>
  </si>
  <si>
    <t>Makkah</t>
  </si>
  <si>
    <t>Najran</t>
  </si>
  <si>
    <t>Northern Borders</t>
  </si>
  <si>
    <t>Riyadh</t>
  </si>
  <si>
    <t>Tabuk</t>
  </si>
  <si>
    <t>الباحة</t>
  </si>
  <si>
    <t>القصيم</t>
  </si>
  <si>
    <t>عسير</t>
  </si>
  <si>
    <t>حائل</t>
  </si>
  <si>
    <t>جازان</t>
  </si>
  <si>
    <t>الجوف</t>
  </si>
  <si>
    <t>المدينة المنورة</t>
  </si>
  <si>
    <t>مكة المكرمة</t>
  </si>
  <si>
    <t>نجران</t>
  </si>
  <si>
    <t>الحدود الشمالية</t>
  </si>
  <si>
    <t>الرياض</t>
  </si>
  <si>
    <t>تبوك</t>
  </si>
  <si>
    <t>OTHERS</t>
  </si>
  <si>
    <t>TOTAL</t>
  </si>
  <si>
    <t>أبها</t>
  </si>
  <si>
    <t>الأحساء</t>
  </si>
  <si>
    <t>الخبر</t>
  </si>
  <si>
    <t>عرعر</t>
  </si>
  <si>
    <t>الطائف</t>
  </si>
  <si>
    <t>الدمام</t>
  </si>
  <si>
    <t>جدة</t>
  </si>
  <si>
    <t>سكاكا</t>
  </si>
  <si>
    <t>عنيزة</t>
  </si>
  <si>
    <t>أخرى</t>
  </si>
  <si>
    <t>HOTEL</t>
  </si>
  <si>
    <t>PRIVATE</t>
  </si>
  <si>
    <t>الفنادق</t>
  </si>
  <si>
    <t>بريدة</t>
  </si>
  <si>
    <t>تشمل السياحة الوافدة الأنشطة التي يقوم بها زائر غير مقيم في البلد المرجعي ضمن رحلة سياحية وافدة.</t>
  </si>
  <si>
    <t>تمثل السياحة الداخلية مجموع السياحة المحلية والسياحة الوافدة، أي، أنشطة الزوار المقيمين وغير المقيمين في البلد المرجعي كجزء من الرحلات السياحية المحلية أو الدولية.</t>
  </si>
  <si>
    <t>يعرف الغرض الأساسي للرحلة السياحية بأنه الغرض الذي لم تكن الرحلة لتحدث في غيابه. ولكل رحلة سياحية غرض رئيسي واحد فقط مع أن الزائر يمكن أن يقوم أيضًا بأنشطة ثانوية أثناء قيامه بالرحلة. وتصنيف رحلات السياحة بحسب الغرض الأساسي يشمل فئتين أساسيتين ينقسموا إلى 9 فئات فرعية: 
1- الأغراض الشخصية
1-1 الترفيه، والترويح، وقضاء العطلات
1-2 زيارة الأصدقاء والأقارب
1-3 التعليم والتدريب
1-4 الرعاية الطبية والصحية
1-5 الأغراض الدينية والحج
1-6 التسويق
1-7 العبور
1-8 أخرى
2- الأغراض المهنية والعمل التجاري</t>
  </si>
  <si>
    <t>تتكون الرحلة من عدة زيارات لأماكن مختلفة. ويشير مصطلح "زيارة سياحية" إلى البقاء في المكان محل الزيارة أثناء الرحلة السياحية.</t>
  </si>
  <si>
    <t>Inbound Tourists Number by Main Purpose of Trips</t>
  </si>
  <si>
    <t>Inbound Tourists Number by Origin- Region</t>
  </si>
  <si>
    <t>عدد السياح الوافدين حسب مناطق القدوم</t>
  </si>
  <si>
    <t>عدد السياح الوافدين حسب الغرض الرئيسي من الرحلة</t>
  </si>
  <si>
    <t>عدد السياح الوافدين والإنفاق حسب الوجهات- المناطق</t>
  </si>
  <si>
    <t>عدد السياح الوافدين حسب وسيلة الوصول</t>
  </si>
  <si>
    <t>عدد السياح الوافدين حسب نوع السكن</t>
  </si>
  <si>
    <t>Inbound Tourists Number &amp; Expenditure by Destination- Provinces</t>
  </si>
  <si>
    <t>Inbound Tourists Number by Mode of Arrival</t>
  </si>
  <si>
    <t>Inbound Tourists Number by Type of Accommodation</t>
  </si>
  <si>
    <t>عدد السياح المحليين حسب الغرض الرئيسي من الرحلة</t>
  </si>
  <si>
    <t>عدد السياح المحليين حسب مناطق القدوم</t>
  </si>
  <si>
    <t>عدد السياح المحليين والإنفاق حسب الوجهات- المناطق</t>
  </si>
  <si>
    <t>عدد السياح المحليين حسب وسيلة النقل</t>
  </si>
  <si>
    <t>عدد السياح المحليين حسب نوع السكن</t>
  </si>
  <si>
    <t>Domestic Tourists Number by Main Purpose of Trips</t>
  </si>
  <si>
    <t>Domestic Tourists Number by Origin- Province</t>
  </si>
  <si>
    <t>Domestic Tourists Number by Mode of Transport</t>
  </si>
  <si>
    <t>Domestic Tourists Number by Type of Accommodation</t>
  </si>
  <si>
    <t>عدد السياح (زوار المبيت)</t>
  </si>
  <si>
    <t>Tourists Number (Overnight Visitors)</t>
  </si>
  <si>
    <t>ليالي الإقامة</t>
  </si>
  <si>
    <t>Overnight Stays</t>
  </si>
  <si>
    <t>إنفاق السياح</t>
  </si>
  <si>
    <t>Tourists Spending</t>
  </si>
  <si>
    <t>Avergae Sending per Trip</t>
  </si>
  <si>
    <t>Average Spending per Night</t>
  </si>
  <si>
    <t>Avergae Spending per Trip</t>
  </si>
  <si>
    <t>Tourists Number (Overnight Visitors) 
عدد السياح (زوار المبيت)</t>
  </si>
  <si>
    <t>Overnight Stay
ليالي الإقامة</t>
  </si>
  <si>
    <t>Tourists Spending
إنفاق السياح</t>
  </si>
  <si>
    <t>Avergae Spending per Trip
متوسط إنفاق السائح على الرحلة</t>
  </si>
  <si>
    <t>Average Spending per Night
متوسط إنفاق السائح في الليلة</t>
  </si>
  <si>
    <t>Religious
الأغراض الدينية</t>
  </si>
  <si>
    <t>Business
الأعمال</t>
  </si>
  <si>
    <t>Other
 أخرى</t>
  </si>
  <si>
    <t>عدد السياح الوافدين حسب وسيلة الوصول (ألف سائح)</t>
  </si>
  <si>
    <t>الأسواق العشرة الأولى المصدرة للسياحة الوافدة للمملكة (ألف سائح)</t>
  </si>
  <si>
    <t>عدد السياح الوافدين حسب مناطق القدوم (ألف سائح)</t>
  </si>
  <si>
    <t>عدد السياح الوافدين حسب الغرض الرئيسي من الرحلة (ألف سائح)</t>
  </si>
  <si>
    <t>الرحلات السياحية الوافدة حسب مكان الإقامة (ألف سائح)</t>
  </si>
  <si>
    <t>الشقق</t>
  </si>
  <si>
    <t>APARTMENTS</t>
  </si>
  <si>
    <t>سكن خاص</t>
  </si>
  <si>
    <t>عدد السياح المحليين حسب الغرض الرئيسي من الرحلة (ألف سائح)</t>
  </si>
  <si>
    <t>عدد السياح المحليين حسب مناطق القدوم (ألف سائح)</t>
  </si>
  <si>
    <t>Domestic Tourists Number &amp; Expenditure by Destination- Provinces</t>
  </si>
  <si>
    <t>عدد السياح المحليين حسب وسيلة النقل (ألف سائح)</t>
  </si>
  <si>
    <t>عدد السياح المحليين حسب نوع السكن (ألف سائح)</t>
  </si>
  <si>
    <t>Domestic Tourists Number by Type of Accommodation ('000 Tourist)</t>
  </si>
  <si>
    <t>Domestic Tourists Number by Mode of Transport ('000 Tourist)</t>
  </si>
  <si>
    <t>إنفاق السياح (ريال)</t>
  </si>
  <si>
    <t>Tourists Spending (SAR)</t>
  </si>
  <si>
    <t>Domestic Tourists Number by Origin- Province ('000 Tourist)</t>
  </si>
  <si>
    <t>Domestic Tourists Number by Main Purpose of Trips ('000 Tourist)</t>
  </si>
  <si>
    <t>Inbound Tourist Trips by Type of Accommodation ('000 Tourist)</t>
  </si>
  <si>
    <t>Inbound Tourists Number by Mode of Arrival ('000 Tourist)</t>
  </si>
  <si>
    <t>Top 10 Inbound Tourism Markets- Country ('000 Tourist)</t>
  </si>
  <si>
    <t>Inbound Tourists Number by Origin- Region ('000 Tourist)</t>
  </si>
  <si>
    <t>Inbound Tourists Number by Main Purpose of Trips ('000 Tourist)</t>
  </si>
  <si>
    <r>
      <t>Leisure</t>
    </r>
    <r>
      <rPr>
        <sz val="11"/>
        <color rgb="FFFF0000"/>
        <rFont val="Calibri"/>
        <family val="2"/>
        <scheme val="minor"/>
      </rPr>
      <t>*</t>
    </r>
  </si>
  <si>
    <t xml:space="preserve">(Recreation, Shopping &amp; Sports) </t>
  </si>
  <si>
    <r>
      <t>الترفيه</t>
    </r>
    <r>
      <rPr>
        <sz val="11"/>
        <color rgb="FFFF0000"/>
        <rFont val="Calibri"/>
        <family val="2"/>
        <scheme val="minor"/>
      </rPr>
      <t>*</t>
    </r>
  </si>
  <si>
    <t xml:space="preserve"> (الاستجمام والتسوق والرياضة)</t>
  </si>
  <si>
    <r>
      <t>Leisure</t>
    </r>
    <r>
      <rPr>
        <b/>
        <sz val="11"/>
        <color rgb="FFFF0000"/>
        <rFont val="Calibri"/>
        <family val="2"/>
        <scheme val="minor"/>
      </rPr>
      <t>*</t>
    </r>
    <r>
      <rPr>
        <b/>
        <sz val="11"/>
        <color theme="0"/>
        <rFont val="Calibri"/>
        <family val="2"/>
        <scheme val="minor"/>
      </rPr>
      <t xml:space="preserve">
الترفيه</t>
    </r>
    <r>
      <rPr>
        <b/>
        <sz val="11"/>
        <color rgb="FFFF0000"/>
        <rFont val="Calibri"/>
        <family val="2"/>
        <scheme val="minor"/>
      </rPr>
      <t>*</t>
    </r>
  </si>
  <si>
    <r>
      <t>Tourists Number</t>
    </r>
    <r>
      <rPr>
        <b/>
        <sz val="11"/>
        <color rgb="FFFF0000"/>
        <rFont val="Calibri"/>
        <family val="2"/>
        <scheme val="minor"/>
      </rPr>
      <t>*</t>
    </r>
    <r>
      <rPr>
        <b/>
        <sz val="11"/>
        <color theme="0"/>
        <rFont val="Calibri"/>
        <family val="2"/>
        <scheme val="minor"/>
      </rPr>
      <t xml:space="preserve">
عدد السياح</t>
    </r>
    <r>
      <rPr>
        <b/>
        <sz val="11"/>
        <color rgb="FFFF0000"/>
        <rFont val="Calibri"/>
        <family val="2"/>
        <scheme val="minor"/>
      </rPr>
      <t>*</t>
    </r>
  </si>
  <si>
    <r>
      <rPr>
        <sz val="11"/>
        <color rgb="FFFF0000"/>
        <rFont val="Calibri"/>
        <family val="2"/>
        <scheme val="minor"/>
      </rPr>
      <t>*</t>
    </r>
    <r>
      <rPr>
        <sz val="11"/>
        <color theme="1"/>
        <rFont val="Calibri"/>
        <family val="2"/>
        <scheme val="minor"/>
      </rPr>
      <t>Overnight Visitors</t>
    </r>
  </si>
  <si>
    <r>
      <rPr>
        <sz val="11"/>
        <color rgb="FFFF0000"/>
        <rFont val="Calibri"/>
        <family val="2"/>
        <scheme val="minor"/>
      </rPr>
      <t>*</t>
    </r>
    <r>
      <rPr>
        <sz val="11"/>
        <color theme="1"/>
        <rFont val="Calibri"/>
        <family val="2"/>
        <scheme val="minor"/>
      </rPr>
      <t>زوار المبيت</t>
    </r>
  </si>
  <si>
    <t>Inbound Tourists Number &amp; Spending by Destination- Provinces</t>
  </si>
  <si>
    <t>Domestic Tourists Number &amp; Spending by Destination- Provinces</t>
  </si>
  <si>
    <t>عدد السياح الوافدين والإنفاق حسب الوجهات- المحافظات الرئيسة</t>
  </si>
  <si>
    <t>Inbound Tourists Number &amp; Spending by Destination- Main Governorate</t>
  </si>
  <si>
    <t>عدد السياح المحليين والإنفاق حسب الوجهات- المحافظات الرئيسة</t>
  </si>
  <si>
    <t>Domestic Tourists Number &amp; Spending by Destination- Main Governorate</t>
  </si>
  <si>
    <t>Al Bahah</t>
  </si>
  <si>
    <t>BILJURASHI</t>
  </si>
  <si>
    <t>Buraydah</t>
  </si>
  <si>
    <t>Rass</t>
  </si>
  <si>
    <t>Unayzah</t>
  </si>
  <si>
    <t>Abha</t>
  </si>
  <si>
    <t>Khamis Mushait</t>
  </si>
  <si>
    <t>Al Ahsa</t>
  </si>
  <si>
    <t>Al Khobar</t>
  </si>
  <si>
    <t>Dammam</t>
  </si>
  <si>
    <t>Al Qurayyat</t>
  </si>
  <si>
    <t>Sakaka</t>
  </si>
  <si>
    <t>Al Ula</t>
  </si>
  <si>
    <t>Yanbu</t>
  </si>
  <si>
    <t>Jeddah</t>
  </si>
  <si>
    <t>Rabigh</t>
  </si>
  <si>
    <t>Taif</t>
  </si>
  <si>
    <t>Arar</t>
  </si>
  <si>
    <t>Al Wajh</t>
  </si>
  <si>
    <t>Duba</t>
  </si>
  <si>
    <t>Umluj</t>
  </si>
  <si>
    <t>بلجرشي</t>
  </si>
  <si>
    <t>Albaha province</t>
  </si>
  <si>
    <t>Other AlBaha</t>
  </si>
  <si>
    <t>أخرى الباحة</t>
  </si>
  <si>
    <t>الرس</t>
  </si>
  <si>
    <t>Other AlQassim</t>
  </si>
  <si>
    <t>أخرى القصيم</t>
  </si>
  <si>
    <t>AlQassim Province</t>
  </si>
  <si>
    <t>Aseer Province</t>
  </si>
  <si>
    <t>خميس مشيط</t>
  </si>
  <si>
    <t>أخرى عسير</t>
  </si>
  <si>
    <t>Other Aseer</t>
  </si>
  <si>
    <t>Other Tabuk</t>
  </si>
  <si>
    <t>أخرى تبوك</t>
  </si>
  <si>
    <t>Eastern Province</t>
  </si>
  <si>
    <t>Hail Province</t>
  </si>
  <si>
    <t>Jazan Province</t>
  </si>
  <si>
    <t>Jouf Province</t>
  </si>
  <si>
    <t>Madinah Province</t>
  </si>
  <si>
    <t>Makkah Province</t>
  </si>
  <si>
    <t>Najran Province</t>
  </si>
  <si>
    <t>Northern Borders Province</t>
  </si>
  <si>
    <t>Riyadh Province</t>
  </si>
  <si>
    <t>Tabuk Province</t>
  </si>
  <si>
    <t>أخرى الشرقية</t>
  </si>
  <si>
    <t>Other Eastern</t>
  </si>
  <si>
    <t>أخرى حائل</t>
  </si>
  <si>
    <t>Other Hail</t>
  </si>
  <si>
    <t>أخرى جازان</t>
  </si>
  <si>
    <t>Other Jazan</t>
  </si>
  <si>
    <t>أخرى الجوف</t>
  </si>
  <si>
    <t>Other Jouf</t>
  </si>
  <si>
    <t>القريات</t>
  </si>
  <si>
    <t>العلا</t>
  </si>
  <si>
    <t>ينبع</t>
  </si>
  <si>
    <t>أخرى المدينة المنورة</t>
  </si>
  <si>
    <t>Other Madinah</t>
  </si>
  <si>
    <t>رابغ</t>
  </si>
  <si>
    <t>أخرى مكة المكرمة</t>
  </si>
  <si>
    <t>Other Makkah</t>
  </si>
  <si>
    <t>أخرى نجران</t>
  </si>
  <si>
    <t>Other Najran</t>
  </si>
  <si>
    <t>أخرى الحدود الشمالية</t>
  </si>
  <si>
    <t>Other NB</t>
  </si>
  <si>
    <t>أخرى الرياض</t>
  </si>
  <si>
    <t>Other Riyadh</t>
  </si>
  <si>
    <t>الوجه</t>
  </si>
  <si>
    <t>ضباء</t>
  </si>
  <si>
    <t>أملج</t>
  </si>
  <si>
    <t>Indonesia</t>
  </si>
  <si>
    <t>Iraq</t>
  </si>
  <si>
    <t>إندونيسيا</t>
  </si>
  <si>
    <t>العراق</t>
  </si>
  <si>
    <t>بنغلاديش</t>
  </si>
  <si>
    <t>وكالة البيانات ودعم القرار- وزارة السياحة</t>
  </si>
  <si>
    <t>Data and Decision Support Deputy- Ministry of Tourism</t>
  </si>
  <si>
    <t>No.</t>
  </si>
  <si>
    <t>م</t>
  </si>
  <si>
    <t>ملاحظات</t>
  </si>
  <si>
    <t>Notes</t>
  </si>
  <si>
    <t>2021 data was revised based on revised population census from GSTAT</t>
  </si>
  <si>
    <t>تمت مراجعة بيانات 2021 بناءً على تعداد السكان الذي تمت مراجعته من قبل الهيئة العامة للإحصاء</t>
  </si>
  <si>
    <t>إرسال بريد الكتروني على العنوان التالي:
DataDesk@mt.gov.sa</t>
  </si>
  <si>
    <t>Send an email to the following address
DataDesk@mt.gov.sa</t>
  </si>
  <si>
    <t>Due to sample size, the margin of error on the cities and governorates level is higher than on the province level. Data quality enhancement procedures started in 2021.</t>
  </si>
  <si>
    <t>The transportation mode is the main transportation method used in crossing international boarders and entering Saudi Arabia through one of its porters.</t>
  </si>
  <si>
    <t>تشير وسيلة الوصول/النقل إلى وسيلة الوصول الرئيسة المستخدمة لعبور الحدود الدولية ودخول المملكة العربية السعودية من أحد منافذها الرئيسة.</t>
  </si>
  <si>
    <t>2021 Domestic Tourism data was revised based on revised population census from GSTAT</t>
  </si>
  <si>
    <t>تمت مراجعة بيانات السياحة المحلية للعام 2021م بناءً على تعداد السكان الذي تمت مراجعته من قبل الهيئة العامة للإحصاء</t>
  </si>
  <si>
    <t>Inbound Tourists Number &amp; Expenditure by Destination- Main Cities</t>
  </si>
  <si>
    <t>عدد السياح الوافدين والإنفاق حسب الوجهات- المدن الرئيسة</t>
  </si>
  <si>
    <t>I9</t>
  </si>
  <si>
    <t>Inbound Spending per Type</t>
  </si>
  <si>
    <t>إنفاق السياح الوافدين حسب النوع</t>
  </si>
  <si>
    <t>Domestic Tourists Number &amp; Expenditure by Destination- Main Cities</t>
  </si>
  <si>
    <t>عدد السياح المحليين والإنفاق حسب الوجهات- المدن الرئيسة</t>
  </si>
  <si>
    <t>D8</t>
  </si>
  <si>
    <t>Domestic Spending per Type</t>
  </si>
  <si>
    <t>إنفاق السياح المحليين حسب النوع</t>
  </si>
  <si>
    <t>Inbound Spending per Type (Million SAR)</t>
  </si>
  <si>
    <t>إنفاق السياحة الوافدة حسب النوع (مليون ريال سعودي)</t>
  </si>
  <si>
    <t>ACCOMMODATION SPEND [MILLION SAR]
الإنفاق على الإيواء (مليون ريال)</t>
  </si>
  <si>
    <t>ENTERTAINMENT SPEND [MILLION SAR]
الإنفاق على الترفيه (مليون ريال)</t>
  </si>
  <si>
    <t>FOOD SPENDS [MILLION SAR]
الإنفاق على المأكولات والمشروبات (مليون ريال)</t>
  </si>
  <si>
    <t>LOCAL TRANSPORT SPENDS [MILLION SAR]
الإنفاق على المواصلات (مليون ريال)</t>
  </si>
  <si>
    <t>SHOPPING SPEND [MILLION SAR]
الإنفاق على التسوق (مليون ريال)</t>
  </si>
  <si>
    <t>OTHER SPEND [MILLION SAR]
الإنفاق على أخرى (مليون ريال)</t>
  </si>
  <si>
    <t>TOTAL SPENDS [MILLION SAR]
إجمالي الإنفاق (مليون ريال)</t>
  </si>
  <si>
    <t>Domestic Spending per Type (Million SAR)</t>
  </si>
  <si>
    <t>إنفاق السياحة المحلية حسب النوع (مليون ريال سعودي)</t>
  </si>
  <si>
    <t>هوامش الخطأ على مستوى المدن والمحافظات أعلى منها على مستوى المناطق وذلك بسبب حجم العينة، وقد تم العمل على تحسين جودة البيانات منذ عام 2021م.</t>
  </si>
  <si>
    <t>(Last update: 16-04-2025)</t>
  </si>
  <si>
    <t>https://mt.gov.sa/tic/open-data</t>
  </si>
  <si>
    <t>البيانات المفتوحة</t>
  </si>
  <si>
    <t>Open Data</t>
  </si>
  <si>
    <t>S</t>
  </si>
  <si>
    <t>S1</t>
  </si>
  <si>
    <t xml:space="preserve">Destination </t>
  </si>
  <si>
    <t>Overall</t>
  </si>
  <si>
    <t>Makkah City</t>
  </si>
  <si>
    <t>Alqassim Province</t>
  </si>
  <si>
    <t>Albaha Province</t>
  </si>
  <si>
    <t>الوجهة</t>
  </si>
  <si>
    <t>مدينة مكة المكرمة</t>
  </si>
  <si>
    <t>مدينة المدينة المنورة</t>
  </si>
  <si>
    <t>أخرى منطقة مكة المكرمة</t>
  </si>
  <si>
    <t>أخرى منطقة المدينة المنورة</t>
  </si>
  <si>
    <t>Secondary Visits by Inbound Tourists</t>
  </si>
  <si>
    <t>Madiinah Provinve</t>
  </si>
  <si>
    <t xml:space="preserve">Almadinah Almunwrah city </t>
  </si>
  <si>
    <t>محافظة جدة</t>
  </si>
  <si>
    <t>محافظة العلا</t>
  </si>
  <si>
    <t>Destination Level Overall Tourism Flow</t>
  </si>
  <si>
    <t>Total National</t>
  </si>
  <si>
    <t>الزوار  الوافدين كوجهة رئيسة</t>
  </si>
  <si>
    <t>الزوار المحليين كوجهة رئيسة</t>
  </si>
  <si>
    <t>*Tourist visits to secondary destinations are not included in the national total number of visitors, as this would lead to double-counting. For instance, an Umrah visitor whose main destination is Makkah may also visit Madinah during the same trip, but they are still counted as a single visitor.</t>
  </si>
  <si>
    <t>الزيارات التي يقوم بها السائح كوجهة إضافية لا تُحتسب في العدد الإجمالي للزوار على مستوى المملكة، لأن ذلك يؤدي إلى ازدواجية في الحساب. على سبيل المثال، تتمثل الوجهة الرئيسة للمعتمر في مكة المكرمة، ولكن قد يزور المدينة المنورة كوجهة إضافية خلال ذات الرحلة. ومع ذلك يظل زائراً واحداً بغض النظر عن عدد الزيارات التي يقوم بها داخل المملكة.</t>
  </si>
  <si>
    <t>إجمالي الحركة السياحية على مستوى الوجهة</t>
  </si>
  <si>
    <t>محافظة الطائف</t>
  </si>
  <si>
    <t>Secondary Visits</t>
  </si>
  <si>
    <t>الوجهات الإضافية</t>
  </si>
  <si>
    <t>السياح المحليين</t>
  </si>
  <si>
    <t>إجمالي الزوار للوجهات الرئيسة</t>
  </si>
  <si>
    <t>السياح الوافدون من الخارج</t>
  </si>
  <si>
    <t xml:space="preserve">Inbound Tourists </t>
  </si>
  <si>
    <t>Domestic Tourists</t>
  </si>
  <si>
    <t>Domestic Visitors as Main Destination</t>
  </si>
  <si>
    <t>Inbound Visitors as Main Destination</t>
  </si>
  <si>
    <t xml:space="preserve"> الزيارات كوجهة إضافية*</t>
  </si>
  <si>
    <t xml:space="preserve">Destination Level Overall Tourism Flow </t>
  </si>
  <si>
    <t>Jeddah Governorate</t>
  </si>
  <si>
    <t>Taif Governorate</t>
  </si>
  <si>
    <t>Other Makkah Provinve/ Cities/Governorate</t>
  </si>
  <si>
    <t>Alula Governorate</t>
  </si>
  <si>
    <t>Other Madinah/ Province/ Cities/Governorate</t>
  </si>
  <si>
    <t>(Last update: 12-04-2026)</t>
  </si>
  <si>
    <t>تركيا</t>
  </si>
  <si>
    <t>Turkey</t>
  </si>
  <si>
    <t>هذه البيانات تمثل بلد الإقامة</t>
  </si>
  <si>
    <t>This data represents the country of residence</t>
  </si>
  <si>
    <t>ORIGIN COUNTRY GROUP</t>
  </si>
  <si>
    <t>اسم الدولة</t>
  </si>
  <si>
    <t>ORIGIN COUNTRY NAME</t>
  </si>
  <si>
    <t>اسم الإقليم</t>
  </si>
  <si>
    <t>Africa</t>
  </si>
  <si>
    <t>أفريقيا</t>
  </si>
  <si>
    <t>Burkina Faso</t>
  </si>
  <si>
    <t>بوركينا فاسو</t>
  </si>
  <si>
    <t>Réunion</t>
  </si>
  <si>
    <t>Americas</t>
  </si>
  <si>
    <t>أمريكا</t>
  </si>
  <si>
    <t>Aruba</t>
  </si>
  <si>
    <t>أروبا</t>
  </si>
  <si>
    <t>Barbados</t>
  </si>
  <si>
    <t>بربادوس</t>
  </si>
  <si>
    <t>Belize</t>
  </si>
  <si>
    <t>بليز</t>
  </si>
  <si>
    <t>Canada</t>
  </si>
  <si>
    <t>كندا</t>
  </si>
  <si>
    <t>Grenada</t>
  </si>
  <si>
    <t>غرينادا</t>
  </si>
  <si>
    <t>Jamaica</t>
  </si>
  <si>
    <t>جامايكا</t>
  </si>
  <si>
    <t>Martinique</t>
  </si>
  <si>
    <t>مارتينيك</t>
  </si>
  <si>
    <t>Montserrat</t>
  </si>
  <si>
    <t>مونتسيرات</t>
  </si>
  <si>
    <t>Saint Lucia</t>
  </si>
  <si>
    <t>سانت لوسيا</t>
  </si>
  <si>
    <t>Asia</t>
  </si>
  <si>
    <t>آسيا</t>
  </si>
  <si>
    <t>French Polynesia</t>
  </si>
  <si>
    <t>بولينيزيا الفرنسية</t>
  </si>
  <si>
    <t>Japan</t>
  </si>
  <si>
    <t>اليابان</t>
  </si>
  <si>
    <t>Malaysia</t>
  </si>
  <si>
    <t>ماليزيا</t>
  </si>
  <si>
    <t>New Zealand</t>
  </si>
  <si>
    <t>نيوزيلندا</t>
  </si>
  <si>
    <t>Niue</t>
  </si>
  <si>
    <t>نيوي</t>
  </si>
  <si>
    <t>Europe</t>
  </si>
  <si>
    <t>أوروبا</t>
  </si>
  <si>
    <t>Bosnia and Herzegovina</t>
  </si>
  <si>
    <t>البوسنة والهرسك</t>
  </si>
  <si>
    <t>Georgia</t>
  </si>
  <si>
    <t>جورجيا</t>
  </si>
  <si>
    <t>Hungary</t>
  </si>
  <si>
    <t>هنغاريا</t>
  </si>
  <si>
    <t>Iceland</t>
  </si>
  <si>
    <t>أيسلندا</t>
  </si>
  <si>
    <t>Ireland</t>
  </si>
  <si>
    <t>أيرلندا</t>
  </si>
  <si>
    <t>Romania</t>
  </si>
  <si>
    <t>رومانيا</t>
  </si>
  <si>
    <t>Turkmenistan</t>
  </si>
  <si>
    <t>تركمانستان</t>
  </si>
  <si>
    <t>Ukraine</t>
  </si>
  <si>
    <t>أوكرانيا</t>
  </si>
  <si>
    <t>Yugoslavia</t>
  </si>
  <si>
    <t>يوغوسلافيا</t>
  </si>
  <si>
    <t>GCC</t>
  </si>
  <si>
    <t>Middle East</t>
  </si>
  <si>
    <t>Other</t>
  </si>
  <si>
    <t>Saint Vincent and the Grenadines</t>
  </si>
  <si>
    <t>سانت فنسنت وجزر غرينادين</t>
  </si>
  <si>
    <t>The Islamic Republic of Afghanistan</t>
  </si>
  <si>
    <t>جمهورية أفغانستان الإسلامية</t>
  </si>
  <si>
    <t>The Republic of Albania</t>
  </si>
  <si>
    <t>جمهورية ألبانيا</t>
  </si>
  <si>
    <t>The People's Democratic Republic of Algeria</t>
  </si>
  <si>
    <t>الجمهورية الجزائرية الديمقراطية الشعبية</t>
  </si>
  <si>
    <t>The Territory of American Samoa</t>
  </si>
  <si>
    <t>إقليم ساموا الأمريكية</t>
  </si>
  <si>
    <t>The Principality of Andorra</t>
  </si>
  <si>
    <t>إمارة أندورا</t>
  </si>
  <si>
    <t>The Republic of Angola</t>
  </si>
  <si>
    <t>جمهورية أنغولا</t>
  </si>
  <si>
    <t>The Argentine Republic</t>
  </si>
  <si>
    <t>جمهورية الأرجنتين</t>
  </si>
  <si>
    <t>The Republic of Armenia</t>
  </si>
  <si>
    <t>جمهورية أرمينيا</t>
  </si>
  <si>
    <t>The Commonwealth of Australia</t>
  </si>
  <si>
    <t>كومنولث أستراليا</t>
  </si>
  <si>
    <t>The Republic of Austria</t>
  </si>
  <si>
    <t>جمهورية النمسا</t>
  </si>
  <si>
    <t>The Republic of Azerbaijan</t>
  </si>
  <si>
    <t>جمهورية أذربيجان</t>
  </si>
  <si>
    <t>The Commonwealth of The Bahamas</t>
  </si>
  <si>
    <t>كومنولث جزر البهاما</t>
  </si>
  <si>
    <t>The Kingdom of Bahrain</t>
  </si>
  <si>
    <t>مملكة البحرين</t>
  </si>
  <si>
    <t>The People's Republic of Bangladesh</t>
  </si>
  <si>
    <t>جمهورية بنغلاديش الشعبية</t>
  </si>
  <si>
    <t>The Republic of Belarus</t>
  </si>
  <si>
    <t>جمهورية بيلاروسيا</t>
  </si>
  <si>
    <t>The Kingdom of Belgium</t>
  </si>
  <si>
    <t>مملكة بلجيكا</t>
  </si>
  <si>
    <t>The Republic of Benin</t>
  </si>
  <si>
    <t>جمهورية بنين</t>
  </si>
  <si>
    <t>The Kingdom of Bhutan</t>
  </si>
  <si>
    <t>مملكة بوتان</t>
  </si>
  <si>
    <t>The Plurinational State of Bolivia</t>
  </si>
  <si>
    <t>دولة بوليفيا المتعددة القوميات</t>
  </si>
  <si>
    <t>The Republic of Botswana</t>
  </si>
  <si>
    <t>جمهورية بوتسوانا</t>
  </si>
  <si>
    <t>The Federative Republic of Brazil</t>
  </si>
  <si>
    <t>جمهورية البرازيل الاتحادية</t>
  </si>
  <si>
    <t>The Nation of Brunei, the Abode of Peace</t>
  </si>
  <si>
    <t>أمة بروناي ، دار السلام</t>
  </si>
  <si>
    <t>The Republic of Bulgaria</t>
  </si>
  <si>
    <t>جمهورية بلغاريا</t>
  </si>
  <si>
    <t>The Republic of Burundi</t>
  </si>
  <si>
    <t>جمهورية بوروندي</t>
  </si>
  <si>
    <t>The Kingdom of Cambodia</t>
  </si>
  <si>
    <t>مملكة كمبوديا</t>
  </si>
  <si>
    <t>The Republic of Cameroon</t>
  </si>
  <si>
    <t>جمهورية الكاميرون</t>
  </si>
  <si>
    <t>The Central African Republic</t>
  </si>
  <si>
    <t>جمهورية أفريقيا الوسطى</t>
  </si>
  <si>
    <t>The Republic of Chad</t>
  </si>
  <si>
    <t>جمهورية تشاد</t>
  </si>
  <si>
    <t>The Republic of Chile</t>
  </si>
  <si>
    <t>جمهورية تشيلي</t>
  </si>
  <si>
    <t>The People's Republic of China</t>
  </si>
  <si>
    <t>جمهورية الصين الشعبية</t>
  </si>
  <si>
    <t>The Republic of Colombia</t>
  </si>
  <si>
    <t>جمهورية كولومبيا</t>
  </si>
  <si>
    <t>The Union of the Comoros</t>
  </si>
  <si>
    <t>اتحاد جزر القمر</t>
  </si>
  <si>
    <t>The Democratic Republic of the Congo</t>
  </si>
  <si>
    <t>جمهورية الكونغو الديمقراطية</t>
  </si>
  <si>
    <t>The Republic of the Congo</t>
  </si>
  <si>
    <t>جمهورية الكونغو</t>
  </si>
  <si>
    <t>The Republic of Costa Rica</t>
  </si>
  <si>
    <t>جمهورية كوستاريكا</t>
  </si>
  <si>
    <t>The Republic of Côte d'Ivoire</t>
  </si>
  <si>
    <t>جمهورية كوت ديفوار</t>
  </si>
  <si>
    <t>The Republic of Croatia</t>
  </si>
  <si>
    <t>جمهورية كرواتيا</t>
  </si>
  <si>
    <t>The Republic of Cuba</t>
  </si>
  <si>
    <t>جمهورية كوبا</t>
  </si>
  <si>
    <t>The Republic of Cyprus</t>
  </si>
  <si>
    <t>جمهورية قبرص</t>
  </si>
  <si>
    <t>The Czech Republic</t>
  </si>
  <si>
    <t>الجمهورية التشيكية</t>
  </si>
  <si>
    <t>The Kingdom of Denmark</t>
  </si>
  <si>
    <t>مملكة الدنمارك</t>
  </si>
  <si>
    <t>The Republic of Djibouti</t>
  </si>
  <si>
    <t>جمهورية جيبوتي</t>
  </si>
  <si>
    <t>The Dominican Republic</t>
  </si>
  <si>
    <t>جمهورية الدومينيكان</t>
  </si>
  <si>
    <t>The Republic of Ecuador</t>
  </si>
  <si>
    <t>جمهورية الإكوادور</t>
  </si>
  <si>
    <t>The Arab Republic of Egypt</t>
  </si>
  <si>
    <t>جمهورية مصر العربية</t>
  </si>
  <si>
    <t>The Republic of El Salvador</t>
  </si>
  <si>
    <t>جمهورية السلفادور</t>
  </si>
  <si>
    <t>The Republic of Equatorial Guinea</t>
  </si>
  <si>
    <t>جمهورية غينيا الاستوائية</t>
  </si>
  <si>
    <t>The State of Eritrea</t>
  </si>
  <si>
    <t>دولة إريتريا</t>
  </si>
  <si>
    <t>The Republic of Estonia</t>
  </si>
  <si>
    <t>جمهورية إستونيا</t>
  </si>
  <si>
    <t>The Kingdom of Eswatini</t>
  </si>
  <si>
    <t>مملكة اسواتيني</t>
  </si>
  <si>
    <t>The Federal Democratic Republic of Ethiopia</t>
  </si>
  <si>
    <t>جمهورية إثيوبيا الديمقراطية الاتحادية</t>
  </si>
  <si>
    <t>The Republic of Fiji</t>
  </si>
  <si>
    <t>جمهورية فيجي</t>
  </si>
  <si>
    <t>The Republic of Finland</t>
  </si>
  <si>
    <t>جمهورية فنلندا</t>
  </si>
  <si>
    <t>The French Republic</t>
  </si>
  <si>
    <t>الجمهورية الفرنسية</t>
  </si>
  <si>
    <t>The Gabonese Republic</t>
  </si>
  <si>
    <t>جمهورية الجابون</t>
  </si>
  <si>
    <t>The Republic of The Gambia</t>
  </si>
  <si>
    <t>جمهورية غامبيا</t>
  </si>
  <si>
    <t>The Federal Republic of Germany</t>
  </si>
  <si>
    <t>جمهورية ألمانيا الاتحادية</t>
  </si>
  <si>
    <t>The Republic of Ghana</t>
  </si>
  <si>
    <t>جمهورية غانا</t>
  </si>
  <si>
    <t>The Republic of Guatemala</t>
  </si>
  <si>
    <t>جمهورية غواتيمالا</t>
  </si>
  <si>
    <t>The Republic of Guinea</t>
  </si>
  <si>
    <t>جمهورية غينيا</t>
  </si>
  <si>
    <t>The Republic of Guinea-Bissau</t>
  </si>
  <si>
    <t>جمهورية غينيا بيساو</t>
  </si>
  <si>
    <t>The Republic of Haiti</t>
  </si>
  <si>
    <t>جمهورية هايتي</t>
  </si>
  <si>
    <t>The Republic of Honduras</t>
  </si>
  <si>
    <t>جمهورية هندوراس</t>
  </si>
  <si>
    <t>The Hong Kong Special Administrative Region of China</t>
  </si>
  <si>
    <t xml:space="preserve">منطقة هونغ كونغ الإدارية الخاصة الصينية </t>
  </si>
  <si>
    <t>The Republic of India</t>
  </si>
  <si>
    <t>جمهورية الهند</t>
  </si>
  <si>
    <t>The Republic of Indonesia</t>
  </si>
  <si>
    <t>جمهورية إندونيسيا</t>
  </si>
  <si>
    <t>The Islamic Republic of Iran</t>
  </si>
  <si>
    <t>جمهورية إيران الإسلامية</t>
  </si>
  <si>
    <t>The Republic of Iraq</t>
  </si>
  <si>
    <t>جمهورية العراق</t>
  </si>
  <si>
    <t>The Italian Republic</t>
  </si>
  <si>
    <t>الجمهورية الايطالية</t>
  </si>
  <si>
    <t>The Hashemite Kingdom of Jordan</t>
  </si>
  <si>
    <t>المملكة الأردنية الهاشمية</t>
  </si>
  <si>
    <t>The Republic of Kazakhstan</t>
  </si>
  <si>
    <t>جمهورية كازاخستان</t>
  </si>
  <si>
    <t>The Republic of Kenya</t>
  </si>
  <si>
    <t>جمهورية كينيا</t>
  </si>
  <si>
    <t>The Republic of Kiribati</t>
  </si>
  <si>
    <t>جمهورية كيريباتي</t>
  </si>
  <si>
    <t>The State of Kuwait</t>
  </si>
  <si>
    <t>دولة الكويت</t>
  </si>
  <si>
    <t>The Kyrgyz Republic</t>
  </si>
  <si>
    <t>جمهورية قيرغيزستان</t>
  </si>
  <si>
    <t>The Republic of Latvia</t>
  </si>
  <si>
    <t>جمهورية لاتفيا</t>
  </si>
  <si>
    <t>The Lebanese Republic</t>
  </si>
  <si>
    <t>الجمهورية اللبنانية</t>
  </si>
  <si>
    <t>The Kingdom of Lesotho</t>
  </si>
  <si>
    <t>مملكة ليسوتو</t>
  </si>
  <si>
    <t>The Republic of Liberia</t>
  </si>
  <si>
    <t>جمهورية ليبيريا</t>
  </si>
  <si>
    <t>The State of Libya</t>
  </si>
  <si>
    <t>دولة ليبيا</t>
  </si>
  <si>
    <t>The Principality of Liechtenstein</t>
  </si>
  <si>
    <t>إمارة ليختنشتاين</t>
  </si>
  <si>
    <t>The Republic of Lithuania</t>
  </si>
  <si>
    <t>جمهورية ليتوانيا</t>
  </si>
  <si>
    <t>The Grand Duchy of Luxembourg</t>
  </si>
  <si>
    <t>دوقية لوكسمبورغ الكبرى</t>
  </si>
  <si>
    <t>Macao Special Administrative Region of China</t>
  </si>
  <si>
    <t>منطقة ماكاو الإدارية الخاصة الصينية</t>
  </si>
  <si>
    <t>The Republic of Madagascar</t>
  </si>
  <si>
    <t>جمهورية مدغشقر</t>
  </si>
  <si>
    <t>The Republic of Malawi</t>
  </si>
  <si>
    <t>جمهورية ملاوي</t>
  </si>
  <si>
    <t>The Republic of Maldives</t>
  </si>
  <si>
    <t>جمهورية جزر المالديف</t>
  </si>
  <si>
    <t>The Republic of Mali</t>
  </si>
  <si>
    <t>جمهورية مالي</t>
  </si>
  <si>
    <t>The Republic of Malta</t>
  </si>
  <si>
    <t>جمهورية مالطا</t>
  </si>
  <si>
    <t>The Republic of the Marshall Islands</t>
  </si>
  <si>
    <t>جمهورية جزر مارشال</t>
  </si>
  <si>
    <t>The Islamic Republic of Mauritania</t>
  </si>
  <si>
    <t>الجمهورية الإسلامية الموريتانية</t>
  </si>
  <si>
    <t>The Republic of Mauritius</t>
  </si>
  <si>
    <t>جمهورية موريشيوس</t>
  </si>
  <si>
    <t>The United Mexican States</t>
  </si>
  <si>
    <t>الولايات المتحدة المكسيكية</t>
  </si>
  <si>
    <t>The Federated States of Micronesia</t>
  </si>
  <si>
    <t>ولايات ميكرونيزيا الموحدة</t>
  </si>
  <si>
    <t>The Republic of Moldova</t>
  </si>
  <si>
    <t>جمهورية مولدوفا</t>
  </si>
  <si>
    <t>The State of Mongolia</t>
  </si>
  <si>
    <t>دولة منغوليا</t>
  </si>
  <si>
    <t>The Kingdom of Morocco</t>
  </si>
  <si>
    <t>المملكة المغربية</t>
  </si>
  <si>
    <t>The Republic of Mozambique</t>
  </si>
  <si>
    <t>جمهورية موزمبيق</t>
  </si>
  <si>
    <t>The Republic of the Union of Myanmar</t>
  </si>
  <si>
    <t>جمهورية اتحاد ميانمار</t>
  </si>
  <si>
    <t>The Republic of Namibia</t>
  </si>
  <si>
    <t>جمهورية ناميبيا</t>
  </si>
  <si>
    <t>The Kingdom of the Netherlands</t>
  </si>
  <si>
    <t>مملكة هولندا</t>
  </si>
  <si>
    <t>The Republic of Nicaragua</t>
  </si>
  <si>
    <t>جمهورية نيكاراغوا</t>
  </si>
  <si>
    <t>The Republic of the Niger</t>
  </si>
  <si>
    <t>جمهورية النيجر</t>
  </si>
  <si>
    <t>The Federal Republic of Nigeria</t>
  </si>
  <si>
    <t>جمهورية نيجيريا الاتحادية</t>
  </si>
  <si>
    <t>Republic of North Macedonia</t>
  </si>
  <si>
    <t>جمهورية مقدونيا الشمالية</t>
  </si>
  <si>
    <t>The Kingdom of Norway</t>
  </si>
  <si>
    <t>مملكة النرويج</t>
  </si>
  <si>
    <t>The Sultanate of Oman</t>
  </si>
  <si>
    <t>سلطنة عمان</t>
  </si>
  <si>
    <t>The Islamic Republic of Pakistan</t>
  </si>
  <si>
    <t>جمهورية باكستان الإسلامية</t>
  </si>
  <si>
    <t>The State of Palestine</t>
  </si>
  <si>
    <t>دولة فلسطين</t>
  </si>
  <si>
    <t>The Republic of Panamá</t>
  </si>
  <si>
    <t>جمهورية بنما</t>
  </si>
  <si>
    <t>The Independent State of Papua New Guinea</t>
  </si>
  <si>
    <t>دولة بابوا غينيا الجديدة المستقلة</t>
  </si>
  <si>
    <t>The Republic of Paraguay</t>
  </si>
  <si>
    <t>جمهورية باراغواي</t>
  </si>
  <si>
    <t>The Republic of Perú</t>
  </si>
  <si>
    <t>جمهورية بيرو</t>
  </si>
  <si>
    <t>The Republic of the Philippines</t>
  </si>
  <si>
    <t>جمهورية الفلبين</t>
  </si>
  <si>
    <t>The Republic of Poland</t>
  </si>
  <si>
    <t>جمهورية بولندا</t>
  </si>
  <si>
    <t>The Portuguese Republic</t>
  </si>
  <si>
    <t>الجمهورية البرتغالية</t>
  </si>
  <si>
    <t>The Commonwealth of Puerto Rico</t>
  </si>
  <si>
    <t>كومنولث بورتوريكو</t>
  </si>
  <si>
    <t>The State of Qatar</t>
  </si>
  <si>
    <t>دولة قطر</t>
  </si>
  <si>
    <t>لا ريونيون</t>
  </si>
  <si>
    <t>The Russian Federation</t>
  </si>
  <si>
    <t>الاتحاد الروسي</t>
  </si>
  <si>
    <t>The Republic of Rwanda</t>
  </si>
  <si>
    <t>جمهورية رواندا</t>
  </si>
  <si>
    <t>The Republic of San Marino</t>
  </si>
  <si>
    <t>جمهورية سان مارينو</t>
  </si>
  <si>
    <t>The Republic of Senegal</t>
  </si>
  <si>
    <t>جمهورية السنغال</t>
  </si>
  <si>
    <t>The Republic of Serbia</t>
  </si>
  <si>
    <t>جمهورية صربيا</t>
  </si>
  <si>
    <t>The Republic of Seychelles</t>
  </si>
  <si>
    <t>جمهورية سيشيل</t>
  </si>
  <si>
    <t>The Republic of Sierra Leone</t>
  </si>
  <si>
    <t>جمهورية سيراليون</t>
  </si>
  <si>
    <t>The Republic of Singapore</t>
  </si>
  <si>
    <t>جمهورية سنغافورة</t>
  </si>
  <si>
    <t>The Slovak Republic</t>
  </si>
  <si>
    <t>جمهورية سلوفاكيا</t>
  </si>
  <si>
    <t>The Republic of Slovenia</t>
  </si>
  <si>
    <t>جمهورية سلوفينيا</t>
  </si>
  <si>
    <t>The Federal Republic of Somalia</t>
  </si>
  <si>
    <t>جمهورية الصومال الفيدرالية</t>
  </si>
  <si>
    <t>The Republic of South Africa</t>
  </si>
  <si>
    <t>جمهورية جنوب افريقيا</t>
  </si>
  <si>
    <t>The Republic of Korea</t>
  </si>
  <si>
    <t>جمهورية كوريا</t>
  </si>
  <si>
    <t>The Federal Democratic Republic of Nepal</t>
  </si>
  <si>
    <t>جمهورية نيبال الديمقراطية الاتحادية</t>
  </si>
  <si>
    <t>The Hellenic Republic</t>
  </si>
  <si>
    <t>الجمهورية الهيلينية</t>
  </si>
  <si>
    <t>The Kingdom of Spain</t>
  </si>
  <si>
    <t>مملكة اسبانيا</t>
  </si>
  <si>
    <t>The Democratic Socialist Republic of Sri Lanka</t>
  </si>
  <si>
    <t>جمهورية سريلانكا الديمقراطية الاشتراكية</t>
  </si>
  <si>
    <t>The Republic of the Sudan</t>
  </si>
  <si>
    <t>جمهورية السودان</t>
  </si>
  <si>
    <t>The Republic of Suriname</t>
  </si>
  <si>
    <t>جمهورية سورينام</t>
  </si>
  <si>
    <t>The Kingdom of Sweden</t>
  </si>
  <si>
    <t>مملكة السويد</t>
  </si>
  <si>
    <t>The Swiss Confederation</t>
  </si>
  <si>
    <t>الاتحاد السويسري</t>
  </si>
  <si>
    <t>The Syrian Arab Republic</t>
  </si>
  <si>
    <t>الجمهورية العربية السورية</t>
  </si>
  <si>
    <t>The Republic of Tajikistan</t>
  </si>
  <si>
    <t>جمهورية طاجيكستان</t>
  </si>
  <si>
    <t>The United Republic of Tanzania</t>
  </si>
  <si>
    <t>جمهورية تنزانيا المتحدة</t>
  </si>
  <si>
    <t>The Kingdom of Thailand</t>
  </si>
  <si>
    <t>مملكة تايلاند</t>
  </si>
  <si>
    <t>The Togolese Republic</t>
  </si>
  <si>
    <t>جمهورية توغو</t>
  </si>
  <si>
    <t>The Kingdom of Tonga</t>
  </si>
  <si>
    <t>مملكة تونجا</t>
  </si>
  <si>
    <t>The Republic of Trinidad and Tobago</t>
  </si>
  <si>
    <t>جمهورية ترينيداد وتوباغو</t>
  </si>
  <si>
    <t>The Republic of Tunisia</t>
  </si>
  <si>
    <t>الجمهورية التونسية</t>
  </si>
  <si>
    <t>The Republic of Turkey</t>
  </si>
  <si>
    <t>جمهورية تركيا</t>
  </si>
  <si>
    <t>The United Arab Emirates</t>
  </si>
  <si>
    <t>الإمارات العربية المتحدة</t>
  </si>
  <si>
    <t>The Republic of Uganda</t>
  </si>
  <si>
    <t>جمهورية أوغندا</t>
  </si>
  <si>
    <t>The United Kingdom of Great Britain and Northern Ireland</t>
  </si>
  <si>
    <t>المملكة المتحدة لبريطانيا العظمى وأيرلندا الشمالية</t>
  </si>
  <si>
    <t>The Oriental Republic of Uruguay</t>
  </si>
  <si>
    <t>جمهورية أوروغواي الشرقية</t>
  </si>
  <si>
    <t>The United States of America</t>
  </si>
  <si>
    <t>الولايات المتحدة الأمريكية</t>
  </si>
  <si>
    <t>The Republic of Uzbekistan</t>
  </si>
  <si>
    <t>جمهورية أوزبكستان</t>
  </si>
  <si>
    <t>The Bolivarian Republic of Venezuela</t>
  </si>
  <si>
    <t>جمهورية فنزويلا البوليفارية</t>
  </si>
  <si>
    <t>The Socialist Republic of Viet Nam</t>
  </si>
  <si>
    <t>جمهورية فيتنام الاشتراكية</t>
  </si>
  <si>
    <t>The Virgin Islands</t>
  </si>
  <si>
    <t>جزر فيرجن</t>
  </si>
  <si>
    <t>The Republic of Yemen</t>
  </si>
  <si>
    <t>الجمهورية اليمنية</t>
  </si>
  <si>
    <t>The Republic of Zambia</t>
  </si>
  <si>
    <t>جمهورية زامبيا</t>
  </si>
  <si>
    <t>The Republic of Zimbabwe</t>
  </si>
  <si>
    <t>جمهورية زمبابوي</t>
  </si>
  <si>
    <t>دول الخليج العربي</t>
  </si>
  <si>
    <t>الشرق الأوسط</t>
  </si>
  <si>
    <t>(Last update: 20-08-2026)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</si>
</sst>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_-* #,##0\-;_-* &quot;-&quot;??_-;_-@_-"/>
    <numFmt numFmtId="165" formatCode="#,##0.0"/>
    <numFmt numFmtId="166" formatCode="_(* #,##0.0_);_(* \(#,##0.0\);_(* &quot;-&quot;??_);_(@_)"/>
    <numFmt numFmtId="167" formatCode="_(* #,##0_);_(* \(#,##0\);_(* &quot;-&quot;??_);_(@_)"/>
    <numFmt numFmtId="168" formatCode="#,###"/>
    <numFmt numFmtId="169" formatCode="#,###.#"/>
    <numFmt numFmtId="170" formatCode="#,###.0"/>
    <numFmt numFmtId="171" formatCode="0.0"/>
    <numFmt numFmtId="172" formatCode="#,###.##"/>
    <numFmt numFmtId="173" formatCode="#,##0.0,\ &quot;K&quot;"/>
    <numFmt numFmtId="174" formatCode="#,##0,\ &quot;K&quot;"/>
  </numFmts>
  <fonts count="24" x14ac:knownFonts="1">
    <font>
      <sz val="11"/>
      <color theme="1"/>
      <name val="Calibri"/>
      <family val="2"/>
      <scheme val="minor"/>
    </font>
    <font>
      <sz val="8"/>
      <name val="Calibri"/>
      <family val="2"/>
      <scheme val="minor"/>
    </font>
    <font>
      <sz val="11"/>
      <color theme="1"/>
      <name val="Calibri"/>
      <family val="2"/>
      <scheme val="minor"/>
    </font>
    <font>
      <u/>
      <sz val="11"/>
      <color theme="10"/>
      <name val="Calibri"/>
      <family val="2"/>
      <scheme val="minor"/>
    </font>
    <font>
      <b/>
      <sz val="11"/>
      <color theme="0"/>
      <name val="Calibri"/>
      <family val="2"/>
      <scheme val="minor"/>
    </font>
    <font>
      <sz val="12"/>
      <color theme="1"/>
      <name val="Calibri"/>
      <family val="2"/>
      <scheme val="minor"/>
    </font>
    <font>
      <sz val="10"/>
      <color theme="1"/>
      <name val="Calibri"/>
      <family val="2"/>
      <scheme val="minor"/>
    </font>
    <font>
      <b/>
      <sz val="11"/>
      <color theme="1"/>
      <name val="Calibri"/>
      <family val="2"/>
      <scheme val="minor"/>
    </font>
    <font>
      <sz val="11"/>
      <color rgb="FFFF0000"/>
      <name val="Calibri"/>
      <family val="2"/>
      <scheme val="minor"/>
    </font>
    <font>
      <sz val="11"/>
      <color rgb="FFC00000"/>
      <name val="Calibri"/>
      <family val="2"/>
      <scheme val="minor"/>
    </font>
    <font>
      <b/>
      <sz val="11"/>
      <name val="Calibri"/>
      <family val="2"/>
      <scheme val="minor"/>
    </font>
    <font>
      <sz val="11"/>
      <name val="Calibri"/>
      <family val="2"/>
      <scheme val="minor"/>
    </font>
    <font>
      <b/>
      <sz val="12"/>
      <name val="Calibri"/>
      <family val="2"/>
      <scheme val="minor"/>
    </font>
    <font>
      <b/>
      <sz val="11"/>
      <color rgb="FF000000"/>
      <name val="Calibri"/>
      <family val="2"/>
      <scheme val="minor"/>
    </font>
    <font>
      <sz val="11"/>
      <color rgb="FF000000"/>
      <name val="Calibri"/>
      <family val="2"/>
      <scheme val="minor"/>
    </font>
    <font>
      <b/>
      <sz val="11"/>
      <color rgb="FFFF0000"/>
      <name val="Calibri"/>
      <family val="2"/>
      <scheme val="minor"/>
    </font>
    <font>
      <b/>
      <sz val="12"/>
      <color theme="0"/>
      <name val="Calibri"/>
      <family val="2"/>
      <scheme val="minor"/>
    </font>
    <font>
      <b/>
      <sz val="12"/>
      <color theme="1"/>
      <name val="Calibri"/>
      <family val="2"/>
      <scheme val="minor"/>
    </font>
    <font>
      <b/>
      <sz val="11"/>
      <color theme="5" tint="-0.499984740745262"/>
      <name val="Calibri"/>
      <family val="2"/>
      <scheme val="minor"/>
    </font>
    <font>
      <sz val="11"/>
      <color rgb="FF2F363B"/>
      <name val="Calibri"/>
      <family val="2"/>
      <scheme val="minor"/>
    </font>
    <font>
      <sz val="10"/>
      <color theme="0"/>
      <name val="Calibri"/>
      <family val="2"/>
      <scheme val="minor"/>
    </font>
    <font>
      <b/>
      <sz val="10"/>
      <name val="Calibri"/>
      <family val="2"/>
      <scheme val="minor"/>
    </font>
    <font>
      <sz val="10"/>
      <name val="Calibri"/>
      <family val="2"/>
      <scheme val="minor"/>
    </font>
    <font>
      <sz val="13"/>
      <color theme="1"/>
      <name val="Calibri"/>
      <family val="2"/>
      <scheme val="minor"/>
    </font>
  </fonts>
  <fills count="26">
    <fill>
      <patternFill patternType="none"/>
    </fill>
    <fill>
      <patternFill patternType="gray125"/>
    </fill>
    <fill>
      <patternFill patternType="solid">
        <fgColor theme="8" tint="0.79998168889431442"/>
        <bgColor indexed="64"/>
      </patternFill>
    </fill>
    <fill>
      <patternFill patternType="solid">
        <fgColor theme="4" tint="-0.499984740745262"/>
        <bgColor rgb="FFDCE6F1"/>
      </patternFill>
    </fill>
    <fill>
      <patternFill patternType="solid">
        <fgColor theme="4" tint="-0.499984740745262"/>
        <bgColor indexed="64"/>
      </patternFill>
    </fill>
    <fill>
      <patternFill patternType="solid">
        <fgColor theme="9" tint="0.79998168889431442"/>
        <bgColor rgb="FFDCE6F1"/>
      </patternFill>
    </fill>
    <fill>
      <patternFill patternType="solid">
        <fgColor theme="9" tint="0.79998168889431442"/>
        <bgColor indexed="64"/>
      </patternFill>
    </fill>
    <fill>
      <patternFill patternType="solid">
        <fgColor theme="0" tint="-4.9989318521683403E-2"/>
        <bgColor rgb="FFDCE6F1"/>
      </patternFill>
    </fill>
    <fill>
      <patternFill patternType="solid">
        <fgColor theme="0" tint="-4.9989318521683403E-2"/>
        <bgColor indexed="64"/>
      </patternFill>
    </fill>
    <fill>
      <patternFill patternType="solid">
        <fgColor theme="0"/>
        <bgColor rgb="FFDCE6F1"/>
      </patternFill>
    </fill>
    <fill>
      <patternFill patternType="solid">
        <fgColor theme="0"/>
        <bgColor indexed="64"/>
      </patternFill>
    </fill>
    <fill>
      <patternFill patternType="solid">
        <fgColor theme="8" tint="0.59999389629810485"/>
        <bgColor rgb="FFDCE6F1"/>
      </patternFill>
    </fill>
    <fill>
      <patternFill patternType="solid">
        <fgColor theme="8" tint="0.59999389629810485"/>
        <bgColor indexed="64"/>
      </patternFill>
    </fill>
    <fill>
      <patternFill patternType="solid">
        <fgColor theme="8" tint="0.39997558519241921"/>
        <bgColor indexed="64"/>
      </patternFill>
    </fill>
    <fill>
      <patternFill patternType="solid">
        <fgColor rgb="FFA5A5A5"/>
      </patternFill>
    </fill>
    <fill>
      <patternFill patternType="solid">
        <fgColor theme="4"/>
        <bgColor indexed="64"/>
      </patternFill>
    </fill>
    <fill>
      <patternFill patternType="solid">
        <fgColor rgb="FFF2F2F2"/>
        <bgColor indexed="64"/>
      </patternFill>
    </fill>
    <fill>
      <patternFill patternType="solid">
        <fgColor rgb="FFDDEBF7"/>
        <bgColor indexed="64"/>
      </patternFill>
    </fill>
    <fill>
      <patternFill patternType="solid">
        <fgColor rgb="FFDDEBF7"/>
        <bgColor theme="4" tint="0.79998168889431442"/>
      </patternFill>
    </fill>
    <fill>
      <patternFill patternType="solid">
        <fgColor rgb="FFF2F2F2"/>
        <bgColor rgb="FFDCE6F1"/>
      </patternFill>
    </fill>
    <fill>
      <patternFill patternType="solid">
        <fgColor rgb="FF162646"/>
        <bgColor indexed="64"/>
      </patternFill>
    </fill>
    <fill>
      <patternFill patternType="solid">
        <fgColor rgb="FFC3D0EB"/>
        <bgColor indexed="64"/>
      </patternFill>
    </fill>
    <fill>
      <patternFill patternType="solid">
        <fgColor rgb="FFEBEFF9"/>
        <bgColor indexed="64"/>
      </patternFill>
    </fill>
    <fill>
      <patternFill patternType="solid">
        <fgColor theme="4" tint="-0.249977111117893"/>
        <bgColor indexed="64"/>
      </patternFill>
    </fill>
    <fill>
      <patternFill patternType="solid">
        <fgColor rgb="FF0070C0"/>
        <bgColor indexed="64"/>
      </patternFill>
    </fill>
    <fill>
      <patternFill patternType="solid">
        <fgColor theme="4" tint="0.79998168889431442"/>
        <bgColor theme="4" tint="0.79998168889431442"/>
      </patternFill>
    </fill>
  </fills>
  <borders count="60">
    <border>
      <left/>
      <right/>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hair">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theme="0"/>
      </right>
      <top/>
      <bottom style="thin">
        <color indexed="64"/>
      </bottom>
      <diagonal/>
    </border>
    <border>
      <left/>
      <right style="thin">
        <color theme="0"/>
      </right>
      <top style="thin">
        <color indexed="64"/>
      </top>
      <bottom style="thin">
        <color indexed="64"/>
      </bottom>
      <diagonal/>
    </border>
    <border>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theme="0"/>
      </right>
      <top/>
      <bottom/>
      <diagonal/>
    </border>
    <border>
      <left style="thin">
        <color theme="0"/>
      </left>
      <right/>
      <top/>
      <bottom/>
      <diagonal/>
    </border>
    <border>
      <left style="thin">
        <color theme="0"/>
      </left>
      <right/>
      <top/>
      <bottom style="thin">
        <color indexed="64"/>
      </bottom>
      <diagonal/>
    </border>
    <border>
      <left style="thin">
        <color indexed="64"/>
      </left>
      <right style="thin">
        <color indexed="64"/>
      </right>
      <top/>
      <bottom/>
      <diagonal/>
    </border>
    <border>
      <left style="thin">
        <color theme="0"/>
      </left>
      <right style="thin">
        <color theme="0"/>
      </right>
      <top style="thin">
        <color indexed="64"/>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theme="0"/>
      </left>
      <right style="thin">
        <color indexed="64"/>
      </right>
      <top/>
      <bottom style="thin">
        <color indexed="64"/>
      </bottom>
      <diagonal/>
    </border>
    <border>
      <left style="thin">
        <color theme="0"/>
      </left>
      <right/>
      <top style="thin">
        <color indexed="64"/>
      </top>
      <bottom style="thin">
        <color indexed="64"/>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thin">
        <color indexed="64"/>
      </left>
      <right/>
      <top/>
      <bottom style="thin">
        <color theme="0" tint="-0.34998626667073579"/>
      </bottom>
      <diagonal/>
    </border>
  </borders>
  <cellStyleXfs count="5">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xf numFmtId="0" fontId="4" fillId="14" borderId="19" applyNumberFormat="0" applyAlignment="0" applyProtection="0"/>
  </cellStyleXfs>
  <cellXfs count="316">
    <xf numFmtId="0" fontId="0" fillId="0" borderId="0" xfId="0"/>
    <xf numFmtId="0" fontId="6" fillId="0" borderId="0" xfId="0" applyFont="1"/>
    <xf numFmtId="0" fontId="5" fillId="0" borderId="0" xfId="0" applyFont="1"/>
    <xf numFmtId="0" fontId="6" fillId="0" borderId="0" xfId="0" applyFont="1" applyAlignment="1">
      <alignment horizontal="center"/>
    </xf>
    <xf numFmtId="0" fontId="0" fillId="0" borderId="0" xfId="0" applyAlignment="1">
      <alignment horizontal="center" vertical="center"/>
    </xf>
    <xf numFmtId="168" fontId="7" fillId="18" borderId="8" xfId="0" applyNumberFormat="1" applyFont="1" applyFill="1" applyBorder="1" applyAlignment="1">
      <alignment horizontal="center" vertical="center"/>
    </xf>
    <xf numFmtId="168" fontId="0" fillId="0" borderId="0" xfId="0" applyNumberFormat="1"/>
    <xf numFmtId="172" fontId="0" fillId="0" borderId="0" xfId="0" applyNumberFormat="1"/>
    <xf numFmtId="169" fontId="0" fillId="0" borderId="0" xfId="0" applyNumberFormat="1"/>
    <xf numFmtId="0" fontId="9" fillId="0" borderId="0" xfId="0" applyFont="1"/>
    <xf numFmtId="0" fontId="10" fillId="13" borderId="10" xfId="0" applyFont="1" applyFill="1" applyBorder="1" applyAlignment="1">
      <alignment horizontal="center" vertical="center"/>
    </xf>
    <xf numFmtId="0" fontId="10" fillId="13" borderId="11" xfId="0" applyFont="1" applyFill="1" applyBorder="1" applyAlignment="1">
      <alignment horizontal="center" vertical="center"/>
    </xf>
    <xf numFmtId="0" fontId="11" fillId="13" borderId="11" xfId="0" applyFont="1" applyFill="1" applyBorder="1" applyAlignment="1">
      <alignment horizontal="center" vertical="center"/>
    </xf>
    <xf numFmtId="0" fontId="11" fillId="13" borderId="11" xfId="0" applyFont="1" applyFill="1" applyBorder="1"/>
    <xf numFmtId="0" fontId="12" fillId="13" borderId="12" xfId="0" applyFont="1" applyFill="1" applyBorder="1"/>
    <xf numFmtId="0" fontId="11" fillId="0" borderId="0" xfId="0" applyFont="1"/>
    <xf numFmtId="0" fontId="0" fillId="0" borderId="0" xfId="0" applyAlignment="1">
      <alignment horizontal="left" vertical="center"/>
    </xf>
    <xf numFmtId="0" fontId="8" fillId="0" borderId="0" xfId="0" applyFont="1" applyAlignment="1">
      <alignment horizontal="right" vertical="center" readingOrder="2"/>
    </xf>
    <xf numFmtId="164" fontId="4" fillId="3" borderId="39" xfId="1" applyNumberFormat="1" applyFont="1" applyFill="1" applyBorder="1" applyAlignment="1">
      <alignment horizontal="center" vertical="center"/>
    </xf>
    <xf numFmtId="0" fontId="4" fillId="4" borderId="34" xfId="0" applyFont="1" applyFill="1" applyBorder="1" applyAlignment="1">
      <alignment horizontal="center" vertical="center" readingOrder="2"/>
    </xf>
    <xf numFmtId="164" fontId="13" fillId="11" borderId="10" xfId="1" applyNumberFormat="1" applyFont="1" applyFill="1" applyBorder="1" applyAlignment="1">
      <alignment horizontal="center" vertical="center"/>
    </xf>
    <xf numFmtId="0" fontId="7" fillId="12" borderId="11" xfId="0" applyFont="1" applyFill="1" applyBorder="1" applyAlignment="1">
      <alignment horizontal="center" vertical="center"/>
    </xf>
    <xf numFmtId="0" fontId="7" fillId="12" borderId="12" xfId="0" applyFont="1" applyFill="1" applyBorder="1" applyAlignment="1">
      <alignment horizontal="center" vertical="center" readingOrder="2"/>
    </xf>
    <xf numFmtId="164" fontId="14" fillId="0" borderId="8" xfId="1" applyNumberFormat="1" applyFont="1" applyFill="1" applyBorder="1" applyAlignment="1">
      <alignment horizontal="left" vertical="center"/>
    </xf>
    <xf numFmtId="164" fontId="14" fillId="0" borderId="8" xfId="1" applyNumberFormat="1" applyFont="1" applyFill="1" applyBorder="1" applyAlignment="1">
      <alignment horizontal="center" vertical="center"/>
    </xf>
    <xf numFmtId="168" fontId="0" fillId="0" borderId="8" xfId="0" applyNumberFormat="1" applyBorder="1" applyAlignment="1">
      <alignment horizontal="center" vertical="center"/>
    </xf>
    <xf numFmtId="0" fontId="0" fillId="0" borderId="8" xfId="0" applyBorder="1" applyAlignment="1">
      <alignment vertical="center" readingOrder="2"/>
    </xf>
    <xf numFmtId="0" fontId="0" fillId="0" borderId="8" xfId="0" applyBorder="1" applyAlignment="1">
      <alignment horizontal="center" vertical="center" readingOrder="2"/>
    </xf>
    <xf numFmtId="167" fontId="0" fillId="0" borderId="0" xfId="1" applyNumberFormat="1" applyFont="1"/>
    <xf numFmtId="0" fontId="0" fillId="0" borderId="0" xfId="0" applyAlignment="1">
      <alignment horizontal="right" vertical="center"/>
    </xf>
    <xf numFmtId="0" fontId="10" fillId="13" borderId="11" xfId="0" applyFont="1" applyFill="1" applyBorder="1" applyAlignment="1">
      <alignment horizontal="left" vertical="center"/>
    </xf>
    <xf numFmtId="0" fontId="12" fillId="13" borderId="12" xfId="0" applyFont="1" applyFill="1" applyBorder="1" applyAlignment="1">
      <alignment horizontal="right" vertical="center"/>
    </xf>
    <xf numFmtId="0" fontId="0" fillId="0" borderId="0" xfId="0" applyAlignment="1">
      <alignment vertical="center"/>
    </xf>
    <xf numFmtId="164" fontId="4" fillId="3" borderId="37" xfId="1" applyNumberFormat="1" applyFont="1" applyFill="1" applyBorder="1" applyAlignment="1">
      <alignment horizontal="center" vertical="center"/>
    </xf>
    <xf numFmtId="0" fontId="4" fillId="4" borderId="38" xfId="0" applyFont="1" applyFill="1" applyBorder="1" applyAlignment="1">
      <alignment horizontal="center" vertical="center" readingOrder="2"/>
    </xf>
    <xf numFmtId="164" fontId="13" fillId="11" borderId="10" xfId="1" applyNumberFormat="1" applyFont="1" applyFill="1" applyBorder="1" applyAlignment="1">
      <alignment horizontal="left" vertical="center"/>
    </xf>
    <xf numFmtId="0" fontId="7" fillId="12" borderId="12" xfId="0" applyFont="1" applyFill="1" applyBorder="1" applyAlignment="1">
      <alignment horizontal="right" vertical="center" readingOrder="2"/>
    </xf>
    <xf numFmtId="164" fontId="13" fillId="5" borderId="10" xfId="1" applyNumberFormat="1" applyFont="1" applyFill="1" applyBorder="1" applyAlignment="1">
      <alignment horizontal="left" vertical="center"/>
    </xf>
    <xf numFmtId="0" fontId="7" fillId="6" borderId="11" xfId="0" applyFont="1" applyFill="1" applyBorder="1" applyAlignment="1">
      <alignment horizontal="center" vertical="center"/>
    </xf>
    <xf numFmtId="0" fontId="7" fillId="6" borderId="12" xfId="0" applyFont="1" applyFill="1" applyBorder="1" applyAlignment="1">
      <alignment horizontal="right" vertical="center" readingOrder="2"/>
    </xf>
    <xf numFmtId="164" fontId="14" fillId="7" borderId="8" xfId="1" applyNumberFormat="1" applyFont="1" applyFill="1" applyBorder="1" applyAlignment="1">
      <alignment horizontal="left" vertical="center"/>
    </xf>
    <xf numFmtId="164" fontId="14" fillId="7" borderId="8" xfId="1" applyNumberFormat="1" applyFont="1" applyFill="1" applyBorder="1" applyAlignment="1">
      <alignment horizontal="center" vertical="center"/>
    </xf>
    <xf numFmtId="0" fontId="0" fillId="8" borderId="8" xfId="0" applyFill="1" applyBorder="1" applyAlignment="1">
      <alignment horizontal="right" vertical="center" readingOrder="2"/>
    </xf>
    <xf numFmtId="3" fontId="0" fillId="0" borderId="0" xfId="0" applyNumberFormat="1"/>
    <xf numFmtId="164" fontId="14" fillId="9" borderId="8" xfId="1" applyNumberFormat="1" applyFont="1" applyFill="1" applyBorder="1" applyAlignment="1">
      <alignment horizontal="left" vertical="center"/>
    </xf>
    <xf numFmtId="164" fontId="14" fillId="9" borderId="8" xfId="1" applyNumberFormat="1" applyFont="1" applyFill="1" applyBorder="1" applyAlignment="1">
      <alignment horizontal="center" vertical="center"/>
    </xf>
    <xf numFmtId="0" fontId="0" fillId="10" borderId="8" xfId="0" applyFill="1" applyBorder="1" applyAlignment="1">
      <alignment horizontal="right" vertical="center" readingOrder="2"/>
    </xf>
    <xf numFmtId="0" fontId="0" fillId="16" borderId="8" xfId="0" applyFill="1" applyBorder="1" applyAlignment="1">
      <alignment horizontal="center" vertical="center" readingOrder="2"/>
    </xf>
    <xf numFmtId="0" fontId="0" fillId="0" borderId="8" xfId="0" applyBorder="1" applyAlignment="1">
      <alignment horizontal="right" vertical="center" readingOrder="2"/>
    </xf>
    <xf numFmtId="166" fontId="0" fillId="0" borderId="0" xfId="1" applyNumberFormat="1" applyFont="1"/>
    <xf numFmtId="0" fontId="0" fillId="8" borderId="8" xfId="0" applyFill="1" applyBorder="1" applyAlignment="1">
      <alignment horizontal="center" vertical="center" readingOrder="2"/>
    </xf>
    <xf numFmtId="3" fontId="7" fillId="6" borderId="11" xfId="0" applyNumberFormat="1" applyFont="1" applyFill="1" applyBorder="1" applyAlignment="1">
      <alignment horizontal="center" vertical="center"/>
    </xf>
    <xf numFmtId="43" fontId="0" fillId="0" borderId="0" xfId="0" applyNumberFormat="1"/>
    <xf numFmtId="0" fontId="0" fillId="0" borderId="0" xfId="0" applyAlignment="1">
      <alignment horizontal="right"/>
    </xf>
    <xf numFmtId="164" fontId="14" fillId="19" borderId="8" xfId="1" applyNumberFormat="1" applyFont="1" applyFill="1" applyBorder="1" applyAlignment="1">
      <alignment horizontal="left" vertical="center"/>
    </xf>
    <xf numFmtId="164" fontId="14" fillId="16" borderId="8" xfId="1" applyNumberFormat="1" applyFont="1" applyFill="1" applyBorder="1" applyAlignment="1">
      <alignment horizontal="left" vertical="center"/>
    </xf>
    <xf numFmtId="164" fontId="14" fillId="16" borderId="8" xfId="1" applyNumberFormat="1" applyFont="1" applyFill="1" applyBorder="1" applyAlignment="1">
      <alignment horizontal="center" vertical="center"/>
    </xf>
    <xf numFmtId="0" fontId="0" fillId="16" borderId="8" xfId="0" applyFill="1" applyBorder="1" applyAlignment="1">
      <alignment horizontal="right" vertical="center" readingOrder="2"/>
    </xf>
    <xf numFmtId="0" fontId="7" fillId="12" borderId="17" xfId="0" applyFont="1" applyFill="1" applyBorder="1" applyAlignment="1">
      <alignment horizontal="center" vertical="center"/>
    </xf>
    <xf numFmtId="0" fontId="7" fillId="0" borderId="0" xfId="0" applyFont="1" applyAlignment="1">
      <alignment horizontal="center" vertical="center"/>
    </xf>
    <xf numFmtId="0" fontId="7" fillId="0" borderId="0" xfId="0" applyFont="1" applyAlignment="1">
      <alignment vertical="center"/>
    </xf>
    <xf numFmtId="0" fontId="4" fillId="4" borderId="25" xfId="0" applyFont="1" applyFill="1" applyBorder="1" applyAlignment="1">
      <alignment horizontal="center" vertical="center"/>
    </xf>
    <xf numFmtId="164" fontId="4" fillId="4" borderId="23" xfId="0" applyNumberFormat="1" applyFont="1" applyFill="1" applyBorder="1" applyAlignment="1">
      <alignment horizontal="center" vertical="center" wrapText="1"/>
    </xf>
    <xf numFmtId="0" fontId="4" fillId="4" borderId="34" xfId="0" applyFont="1" applyFill="1" applyBorder="1" applyAlignment="1">
      <alignment horizontal="center" vertical="center"/>
    </xf>
    <xf numFmtId="1" fontId="0" fillId="0" borderId="8" xfId="0" applyNumberFormat="1" applyBorder="1" applyAlignment="1">
      <alignment horizontal="center" vertical="center"/>
    </xf>
    <xf numFmtId="3" fontId="0" fillId="0" borderId="8" xfId="0" applyNumberFormat="1" applyBorder="1" applyAlignment="1">
      <alignment horizontal="center" vertical="center"/>
    </xf>
    <xf numFmtId="1" fontId="0" fillId="0" borderId="8" xfId="0" applyNumberFormat="1" applyBorder="1" applyAlignment="1">
      <alignment horizontal="center" vertical="center" readingOrder="2"/>
    </xf>
    <xf numFmtId="0" fontId="4" fillId="2" borderId="10" xfId="0" applyFont="1" applyFill="1" applyBorder="1" applyAlignment="1">
      <alignment vertical="center"/>
    </xf>
    <xf numFmtId="1" fontId="7" fillId="2" borderId="12" xfId="0" applyNumberFormat="1" applyFont="1" applyFill="1" applyBorder="1" applyAlignment="1">
      <alignment horizontal="center" vertical="center"/>
    </xf>
    <xf numFmtId="3" fontId="7" fillId="2" borderId="8" xfId="0" applyNumberFormat="1" applyFont="1" applyFill="1" applyBorder="1" applyAlignment="1">
      <alignment horizontal="center" vertical="center"/>
    </xf>
    <xf numFmtId="1" fontId="7" fillId="2" borderId="10" xfId="0" applyNumberFormat="1" applyFont="1" applyFill="1" applyBorder="1" applyAlignment="1">
      <alignment horizontal="center" vertical="center" readingOrder="2"/>
    </xf>
    <xf numFmtId="0" fontId="4" fillId="2" borderId="12" xfId="0" applyFont="1" applyFill="1" applyBorder="1" applyAlignment="1">
      <alignment vertical="center"/>
    </xf>
    <xf numFmtId="0" fontId="0" fillId="0" borderId="0" xfId="0" applyAlignment="1">
      <alignment horizontal="left"/>
    </xf>
    <xf numFmtId="0" fontId="12" fillId="13" borderId="11" xfId="0" applyFont="1" applyFill="1" applyBorder="1"/>
    <xf numFmtId="0" fontId="10" fillId="13" borderId="12" xfId="0" applyFont="1" applyFill="1" applyBorder="1" applyAlignment="1">
      <alignment horizontal="right" vertical="center"/>
    </xf>
    <xf numFmtId="0" fontId="0" fillId="0" borderId="8" xfId="1" applyNumberFormat="1" applyFont="1" applyBorder="1" applyAlignment="1">
      <alignment horizontal="center" vertical="center"/>
    </xf>
    <xf numFmtId="164" fontId="0" fillId="0" borderId="8" xfId="1" applyNumberFormat="1" applyFont="1" applyBorder="1" applyAlignment="1">
      <alignment vertical="center"/>
    </xf>
    <xf numFmtId="9" fontId="0" fillId="0" borderId="8" xfId="2" applyFont="1" applyBorder="1" applyAlignment="1">
      <alignment horizontal="center" vertical="center"/>
    </xf>
    <xf numFmtId="10" fontId="0" fillId="0" borderId="0" xfId="0" applyNumberFormat="1"/>
    <xf numFmtId="3" fontId="7" fillId="8" borderId="8" xfId="0" applyNumberFormat="1" applyFont="1" applyFill="1" applyBorder="1" applyAlignment="1">
      <alignment horizontal="center" vertical="center"/>
    </xf>
    <xf numFmtId="9" fontId="7" fillId="8" borderId="8" xfId="2" applyFont="1" applyFill="1" applyBorder="1" applyAlignment="1">
      <alignment horizontal="center" vertical="center"/>
    </xf>
    <xf numFmtId="9" fontId="7" fillId="2" borderId="8" xfId="2" applyFont="1" applyFill="1" applyBorder="1" applyAlignment="1">
      <alignment horizontal="center" vertical="center"/>
    </xf>
    <xf numFmtId="0" fontId="11" fillId="13" borderId="11" xfId="0" applyFont="1" applyFill="1" applyBorder="1" applyAlignment="1">
      <alignment vertical="center"/>
    </xf>
    <xf numFmtId="0" fontId="10" fillId="13" borderId="11" xfId="0" applyFont="1" applyFill="1" applyBorder="1" applyAlignment="1">
      <alignment horizontal="right" vertical="center"/>
    </xf>
    <xf numFmtId="0" fontId="11" fillId="0" borderId="0" xfId="0" applyFont="1" applyAlignment="1">
      <alignment vertical="center"/>
    </xf>
    <xf numFmtId="0" fontId="4" fillId="4" borderId="40" xfId="0" applyFont="1" applyFill="1" applyBorder="1" applyAlignment="1">
      <alignment horizontal="center" vertical="center"/>
    </xf>
    <xf numFmtId="0" fontId="4" fillId="4" borderId="43" xfId="0" applyFont="1" applyFill="1" applyBorder="1" applyAlignment="1">
      <alignment horizontal="center" vertical="center"/>
    </xf>
    <xf numFmtId="164" fontId="4" fillId="4" borderId="8" xfId="0" applyNumberFormat="1" applyFont="1" applyFill="1" applyBorder="1" applyAlignment="1">
      <alignment horizontal="center" vertical="center" wrapText="1"/>
    </xf>
    <xf numFmtId="0" fontId="0" fillId="0" borderId="20" xfId="0" applyBorder="1" applyAlignment="1">
      <alignment horizontal="center" vertical="center"/>
    </xf>
    <xf numFmtId="3" fontId="0" fillId="0" borderId="20" xfId="0" applyNumberFormat="1" applyBorder="1" applyAlignment="1">
      <alignment horizontal="center" vertical="center"/>
    </xf>
    <xf numFmtId="0" fontId="0" fillId="0" borderId="21" xfId="0" applyBorder="1" applyAlignment="1">
      <alignment horizontal="center" vertical="center"/>
    </xf>
    <xf numFmtId="3" fontId="0" fillId="0" borderId="21" xfId="0" applyNumberFormat="1" applyBorder="1" applyAlignment="1">
      <alignment horizontal="center" vertical="center"/>
    </xf>
    <xf numFmtId="0" fontId="0" fillId="2" borderId="20" xfId="0" applyFill="1" applyBorder="1" applyAlignment="1">
      <alignment horizontal="center" vertical="center"/>
    </xf>
    <xf numFmtId="3" fontId="7" fillId="2" borderId="20" xfId="0" applyNumberFormat="1" applyFont="1" applyFill="1" applyBorder="1" applyAlignment="1">
      <alignment horizontal="center" vertical="center"/>
    </xf>
    <xf numFmtId="0" fontId="0" fillId="2" borderId="21" xfId="0" applyFill="1" applyBorder="1" applyAlignment="1">
      <alignment horizontal="center" vertical="center"/>
    </xf>
    <xf numFmtId="3" fontId="7" fillId="2" borderId="21" xfId="0" applyNumberFormat="1" applyFont="1" applyFill="1" applyBorder="1" applyAlignment="1">
      <alignment horizontal="center" vertical="center"/>
    </xf>
    <xf numFmtId="1" fontId="0" fillId="0" borderId="9" xfId="0" applyNumberFormat="1" applyBorder="1" applyAlignment="1">
      <alignment horizontal="center" vertical="center"/>
    </xf>
    <xf numFmtId="1" fontId="0" fillId="0" borderId="9" xfId="0" applyNumberFormat="1" applyBorder="1" applyAlignment="1">
      <alignment horizontal="center" vertical="center" readingOrder="2"/>
    </xf>
    <xf numFmtId="0" fontId="4" fillId="4" borderId="27" xfId="0" applyFont="1" applyFill="1" applyBorder="1" applyAlignment="1">
      <alignment horizontal="center" vertical="center"/>
    </xf>
    <xf numFmtId="164" fontId="4" fillId="3" borderId="36" xfId="1" applyNumberFormat="1" applyFont="1" applyFill="1" applyBorder="1" applyAlignment="1">
      <alignment horizontal="center" vertical="center" wrapText="1"/>
    </xf>
    <xf numFmtId="164" fontId="4" fillId="4" borderId="36" xfId="1" applyNumberFormat="1" applyFont="1" applyFill="1" applyBorder="1" applyAlignment="1">
      <alignment horizontal="center" vertical="center" wrapText="1"/>
    </xf>
    <xf numFmtId="0" fontId="4" fillId="4" borderId="28" xfId="0" applyFont="1" applyFill="1" applyBorder="1" applyAlignment="1">
      <alignment horizontal="center" vertical="center"/>
    </xf>
    <xf numFmtId="165" fontId="0" fillId="0" borderId="8" xfId="0" applyNumberFormat="1" applyBorder="1" applyAlignment="1">
      <alignment horizontal="center" vertical="center"/>
    </xf>
    <xf numFmtId="165" fontId="7" fillId="2" borderId="8" xfId="0" applyNumberFormat="1" applyFont="1" applyFill="1" applyBorder="1" applyAlignment="1">
      <alignment horizontal="center" vertical="center"/>
    </xf>
    <xf numFmtId="167" fontId="0" fillId="0" borderId="0" xfId="0" applyNumberFormat="1"/>
    <xf numFmtId="0" fontId="0" fillId="0" borderId="0" xfId="0" applyAlignment="1">
      <alignment horizontal="left" readingOrder="1"/>
    </xf>
    <xf numFmtId="0" fontId="12" fillId="13" borderId="12" xfId="0" applyFont="1" applyFill="1" applyBorder="1" applyAlignment="1">
      <alignment horizontal="right"/>
    </xf>
    <xf numFmtId="0" fontId="10" fillId="13" borderId="11" xfId="0" applyFont="1" applyFill="1" applyBorder="1" applyAlignment="1">
      <alignment vertical="center"/>
    </xf>
    <xf numFmtId="0" fontId="7" fillId="0" borderId="0" xfId="0" applyFont="1"/>
    <xf numFmtId="164" fontId="4" fillId="4" borderId="24" xfId="0" applyNumberFormat="1" applyFont="1" applyFill="1" applyBorder="1" applyAlignment="1">
      <alignment horizontal="center" vertical="center" wrapText="1"/>
    </xf>
    <xf numFmtId="0" fontId="4" fillId="4" borderId="0" xfId="0" applyFont="1" applyFill="1" applyAlignment="1">
      <alignment horizontal="center" vertical="center"/>
    </xf>
    <xf numFmtId="164" fontId="4" fillId="3" borderId="30" xfId="1" applyNumberFormat="1" applyFont="1" applyFill="1" applyBorder="1" applyAlignment="1">
      <alignment horizontal="center" vertical="center" wrapText="1"/>
    </xf>
    <xf numFmtId="0" fontId="16" fillId="4" borderId="0" xfId="0" applyFont="1" applyFill="1" applyAlignment="1" applyProtection="1">
      <alignment horizontal="left" vertical="center"/>
      <protection locked="0"/>
    </xf>
    <xf numFmtId="0" fontId="17" fillId="4" borderId="0" xfId="0" applyFont="1" applyFill="1" applyAlignment="1" applyProtection="1">
      <alignment horizontal="left" vertical="center" wrapText="1" indent="1"/>
      <protection locked="0"/>
    </xf>
    <xf numFmtId="0" fontId="17" fillId="4" borderId="0" xfId="0" applyFont="1" applyFill="1" applyAlignment="1" applyProtection="1">
      <alignment horizontal="right" vertical="center" wrapText="1" readingOrder="2"/>
      <protection locked="0"/>
    </xf>
    <xf numFmtId="0" fontId="16" fillId="4" borderId="0" xfId="0" applyFont="1" applyFill="1" applyAlignment="1" applyProtection="1">
      <alignment horizontal="right" vertical="center" readingOrder="2"/>
      <protection locked="0"/>
    </xf>
    <xf numFmtId="0" fontId="7" fillId="2" borderId="8" xfId="0" applyFont="1" applyFill="1" applyBorder="1" applyAlignment="1">
      <alignment vertical="center"/>
    </xf>
    <xf numFmtId="0" fontId="19" fillId="0" borderId="8" xfId="0" applyFont="1" applyBorder="1" applyAlignment="1">
      <alignment horizontal="center" vertical="center"/>
    </xf>
    <xf numFmtId="0" fontId="17" fillId="2" borderId="8" xfId="0" applyFont="1" applyFill="1" applyBorder="1" applyAlignment="1">
      <alignment horizontal="right" vertical="center"/>
    </xf>
    <xf numFmtId="0" fontId="19" fillId="0" borderId="8" xfId="0" applyFont="1" applyBorder="1" applyAlignment="1">
      <alignment horizontal="center" vertical="center" wrapText="1"/>
    </xf>
    <xf numFmtId="0" fontId="7" fillId="2" borderId="8" xfId="0" applyFont="1" applyFill="1" applyBorder="1" applyAlignment="1">
      <alignment vertical="center" wrapText="1"/>
    </xf>
    <xf numFmtId="0" fontId="17" fillId="2" borderId="8" xfId="0" applyFont="1" applyFill="1" applyBorder="1" applyAlignment="1">
      <alignment horizontal="right" vertical="center" wrapText="1"/>
    </xf>
    <xf numFmtId="0" fontId="0" fillId="0" borderId="0" xfId="0" applyAlignment="1">
      <alignment readingOrder="2"/>
    </xf>
    <xf numFmtId="0" fontId="0" fillId="0" borderId="0" xfId="0" applyAlignment="1">
      <alignment vertical="center" readingOrder="2"/>
    </xf>
    <xf numFmtId="0" fontId="7" fillId="2" borderId="1" xfId="0" applyFont="1" applyFill="1" applyBorder="1" applyAlignment="1">
      <alignment horizontal="center" vertical="center"/>
    </xf>
    <xf numFmtId="0" fontId="7" fillId="2" borderId="2" xfId="0" applyFont="1" applyFill="1" applyBorder="1" applyAlignment="1">
      <alignment horizontal="left" vertical="center"/>
    </xf>
    <xf numFmtId="0" fontId="7" fillId="2" borderId="2" xfId="0" applyFont="1" applyFill="1" applyBorder="1" applyAlignment="1">
      <alignment horizontal="right" vertical="center" readingOrder="2"/>
    </xf>
    <xf numFmtId="0" fontId="3" fillId="0" borderId="3" xfId="3" applyFill="1" applyBorder="1" applyAlignment="1">
      <alignment horizontal="center" vertical="center"/>
    </xf>
    <xf numFmtId="0" fontId="3" fillId="0" borderId="4" xfId="3" applyFill="1" applyBorder="1" applyAlignment="1">
      <alignment horizontal="left" vertical="center"/>
    </xf>
    <xf numFmtId="0" fontId="3" fillId="0" borderId="4" xfId="3" applyFill="1" applyBorder="1" applyAlignment="1">
      <alignment horizontal="right" vertical="center" readingOrder="2"/>
    </xf>
    <xf numFmtId="0" fontId="3" fillId="0" borderId="5" xfId="3" applyFill="1" applyBorder="1" applyAlignment="1">
      <alignment horizontal="center" vertical="center"/>
    </xf>
    <xf numFmtId="0" fontId="3" fillId="0" borderId="6" xfId="3" applyFill="1" applyBorder="1" applyAlignment="1">
      <alignment horizontal="left" vertical="center"/>
    </xf>
    <xf numFmtId="0" fontId="3" fillId="0" borderId="6" xfId="3" applyFill="1" applyBorder="1" applyAlignment="1">
      <alignment horizontal="right" vertical="center" readingOrder="2"/>
    </xf>
    <xf numFmtId="0" fontId="0" fillId="0" borderId="0" xfId="0" applyAlignment="1">
      <alignment horizontal="left" vertical="center" readingOrder="2"/>
    </xf>
    <xf numFmtId="0" fontId="10" fillId="2" borderId="1" xfId="3" applyFont="1" applyFill="1" applyBorder="1" applyAlignment="1">
      <alignment horizontal="center" vertical="center"/>
    </xf>
    <xf numFmtId="0" fontId="10" fillId="2" borderId="2" xfId="3" applyFont="1" applyFill="1" applyBorder="1" applyAlignment="1">
      <alignment horizontal="left" vertical="center"/>
    </xf>
    <xf numFmtId="0" fontId="3" fillId="0" borderId="4" xfId="3" applyBorder="1" applyAlignment="1">
      <alignment vertical="center"/>
    </xf>
    <xf numFmtId="0" fontId="3" fillId="0" borderId="4" xfId="3" applyBorder="1" applyAlignment="1">
      <alignment horizontal="right" vertical="center" readingOrder="2"/>
    </xf>
    <xf numFmtId="0" fontId="3" fillId="0" borderId="3" xfId="3" applyBorder="1" applyAlignment="1">
      <alignment horizontal="center" vertical="center"/>
    </xf>
    <xf numFmtId="0" fontId="3" fillId="0" borderId="5" xfId="3" applyBorder="1" applyAlignment="1">
      <alignment horizontal="center" vertical="center"/>
    </xf>
    <xf numFmtId="0" fontId="3" fillId="2" borderId="7" xfId="3" applyFill="1" applyBorder="1" applyAlignment="1">
      <alignment horizontal="center" vertical="center" readingOrder="2"/>
    </xf>
    <xf numFmtId="0" fontId="0" fillId="0" borderId="0" xfId="0" applyAlignment="1">
      <alignment horizontal="center"/>
    </xf>
    <xf numFmtId="0" fontId="4" fillId="4" borderId="33" xfId="0" applyFont="1" applyFill="1" applyBorder="1" applyAlignment="1">
      <alignment horizontal="center" vertical="center"/>
    </xf>
    <xf numFmtId="0" fontId="4" fillId="4" borderId="32" xfId="0" applyFont="1" applyFill="1" applyBorder="1" applyAlignment="1">
      <alignment horizontal="center" vertical="center"/>
    </xf>
    <xf numFmtId="0" fontId="4" fillId="4" borderId="29" xfId="0" applyFont="1" applyFill="1" applyBorder="1" applyAlignment="1">
      <alignment horizontal="center" vertical="center"/>
    </xf>
    <xf numFmtId="164" fontId="4" fillId="4" borderId="30" xfId="1" applyNumberFormat="1" applyFont="1" applyFill="1" applyBorder="1" applyAlignment="1">
      <alignment horizontal="center" vertical="center" wrapText="1"/>
    </xf>
    <xf numFmtId="0" fontId="4" fillId="4" borderId="31" xfId="0" applyFont="1" applyFill="1" applyBorder="1" applyAlignment="1">
      <alignment horizontal="center" vertical="center"/>
    </xf>
    <xf numFmtId="1" fontId="7" fillId="17" borderId="10" xfId="0" applyNumberFormat="1" applyFont="1" applyFill="1" applyBorder="1" applyAlignment="1">
      <alignment horizontal="center" vertical="center" readingOrder="2"/>
    </xf>
    <xf numFmtId="0" fontId="0" fillId="0" borderId="0" xfId="0" applyAlignment="1">
      <alignment horizontal="right" readingOrder="1"/>
    </xf>
    <xf numFmtId="3" fontId="0" fillId="0" borderId="22" xfId="0" applyNumberFormat="1" applyBorder="1" applyAlignment="1">
      <alignment horizontal="center" vertical="center"/>
    </xf>
    <xf numFmtId="0" fontId="16" fillId="4" borderId="0" xfId="0" applyFont="1" applyFill="1" applyAlignment="1" applyProtection="1">
      <alignment horizontal="center" vertical="center"/>
      <protection locked="0"/>
    </xf>
    <xf numFmtId="0" fontId="16" fillId="4" borderId="0" xfId="0" applyFont="1" applyFill="1" applyAlignment="1" applyProtection="1">
      <alignment horizontal="center" vertical="center" readingOrder="2"/>
      <protection locked="0"/>
    </xf>
    <xf numFmtId="0" fontId="20" fillId="0" borderId="0" xfId="0" applyFont="1" applyAlignment="1" applyProtection="1">
      <alignment horizontal="center" vertical="center"/>
      <protection locked="0"/>
    </xf>
    <xf numFmtId="0" fontId="6" fillId="10" borderId="0" xfId="0" applyFont="1" applyFill="1" applyAlignment="1" applyProtection="1">
      <alignment horizontal="left" vertical="center" wrapText="1"/>
      <protection locked="0"/>
    </xf>
    <xf numFmtId="0" fontId="0" fillId="0" borderId="0" xfId="0" applyAlignment="1" applyProtection="1">
      <alignment horizontal="right" readingOrder="2"/>
      <protection locked="0"/>
    </xf>
    <xf numFmtId="0" fontId="0" fillId="0" borderId="0" xfId="0" applyAlignment="1" applyProtection="1">
      <alignment horizontal="center" vertical="center" readingOrder="2"/>
      <protection locked="0"/>
    </xf>
    <xf numFmtId="0" fontId="16" fillId="15" borderId="8" xfId="0" applyFont="1" applyFill="1" applyBorder="1" applyAlignment="1" applyProtection="1">
      <alignment horizontal="center" vertical="center" readingOrder="1"/>
      <protection locked="0"/>
    </xf>
    <xf numFmtId="0" fontId="16" fillId="15" borderId="8" xfId="0" applyFont="1" applyFill="1" applyBorder="1" applyAlignment="1" applyProtection="1">
      <alignment horizontal="center" vertical="center" wrapText="1" readingOrder="1"/>
      <protection locked="0"/>
    </xf>
    <xf numFmtId="0" fontId="16" fillId="15" borderId="8" xfId="0" applyFont="1" applyFill="1" applyBorder="1" applyAlignment="1" applyProtection="1">
      <alignment horizontal="center" vertical="center" wrapText="1" readingOrder="2"/>
      <protection locked="0"/>
    </xf>
    <xf numFmtId="0" fontId="16" fillId="15" borderId="8" xfId="0" applyFont="1" applyFill="1" applyBorder="1" applyAlignment="1" applyProtection="1">
      <alignment horizontal="center" vertical="center" readingOrder="2"/>
      <protection locked="0"/>
    </xf>
    <xf numFmtId="0" fontId="21" fillId="8" borderId="8" xfId="4" applyFont="1" applyFill="1" applyBorder="1" applyAlignment="1" applyProtection="1">
      <alignment horizontal="center" vertical="center" wrapText="1"/>
      <protection locked="0"/>
    </xf>
    <xf numFmtId="3" fontId="22" fillId="8" borderId="8" xfId="4" applyNumberFormat="1" applyFont="1" applyFill="1" applyBorder="1" applyAlignment="1" applyProtection="1">
      <alignment horizontal="left" vertical="center" wrapText="1"/>
      <protection locked="0"/>
    </xf>
    <xf numFmtId="3" fontId="11" fillId="8" borderId="8" xfId="4" applyNumberFormat="1" applyFont="1" applyFill="1" applyBorder="1" applyAlignment="1" applyProtection="1">
      <alignment horizontal="right" vertical="center" wrapText="1" readingOrder="2"/>
      <protection locked="0"/>
    </xf>
    <xf numFmtId="0" fontId="10" fillId="8" borderId="8" xfId="4" applyFont="1" applyFill="1" applyBorder="1" applyAlignment="1" applyProtection="1">
      <alignment horizontal="center" vertical="center" wrapText="1" readingOrder="2"/>
      <protection locked="0"/>
    </xf>
    <xf numFmtId="0" fontId="21" fillId="0" borderId="8" xfId="4" applyFont="1" applyFill="1" applyBorder="1" applyAlignment="1" applyProtection="1">
      <alignment horizontal="center" vertical="center" wrapText="1"/>
      <protection locked="0"/>
    </xf>
    <xf numFmtId="3" fontId="22" fillId="0" borderId="8" xfId="4" applyNumberFormat="1" applyFont="1" applyFill="1" applyBorder="1" applyAlignment="1" applyProtection="1">
      <alignment horizontal="left" vertical="center" wrapText="1"/>
      <protection locked="0"/>
    </xf>
    <xf numFmtId="3" fontId="11" fillId="0" borderId="8" xfId="4" applyNumberFormat="1" applyFont="1" applyFill="1" applyBorder="1" applyAlignment="1" applyProtection="1">
      <alignment horizontal="right" vertical="center" wrapText="1" readingOrder="2"/>
      <protection locked="0"/>
    </xf>
    <xf numFmtId="0" fontId="10" fillId="0" borderId="8" xfId="4" applyFont="1" applyFill="1" applyBorder="1" applyAlignment="1" applyProtection="1">
      <alignment horizontal="center" vertical="center" wrapText="1" readingOrder="2"/>
      <protection locked="0"/>
    </xf>
    <xf numFmtId="0" fontId="23" fillId="0" borderId="0" xfId="0" applyFont="1" applyAlignment="1">
      <alignment horizontal="right" vertical="center" readingOrder="2"/>
    </xf>
    <xf numFmtId="0" fontId="23" fillId="0" borderId="0" xfId="0" applyFont="1"/>
    <xf numFmtId="0" fontId="10" fillId="13" borderId="11" xfId="0" applyFont="1" applyFill="1" applyBorder="1"/>
    <xf numFmtId="0" fontId="7" fillId="0" borderId="0" xfId="0" applyFont="1" applyAlignment="1">
      <alignment horizontal="left" vertical="center"/>
    </xf>
    <xf numFmtId="168" fontId="7" fillId="0" borderId="8" xfId="0" applyNumberFormat="1" applyFont="1" applyBorder="1" applyAlignment="1">
      <alignment horizontal="center" vertical="center"/>
    </xf>
    <xf numFmtId="169" fontId="7" fillId="0" borderId="8" xfId="0" applyNumberFormat="1" applyFont="1" applyBorder="1" applyAlignment="1">
      <alignment horizontal="center" vertical="center"/>
    </xf>
    <xf numFmtId="170" fontId="7" fillId="0" borderId="8" xfId="0" applyNumberFormat="1" applyFont="1" applyBorder="1" applyAlignment="1">
      <alignment horizontal="center" vertical="center"/>
    </xf>
    <xf numFmtId="171" fontId="7" fillId="0" borderId="0" xfId="0" applyNumberFormat="1" applyFont="1"/>
    <xf numFmtId="168" fontId="7" fillId="16" borderId="8" xfId="0" applyNumberFormat="1" applyFont="1" applyFill="1" applyBorder="1" applyAlignment="1">
      <alignment horizontal="center" vertical="center"/>
    </xf>
    <xf numFmtId="171" fontId="7" fillId="0" borderId="8" xfId="0" applyNumberFormat="1" applyFont="1" applyBorder="1" applyAlignment="1">
      <alignment horizontal="center" vertical="center"/>
    </xf>
    <xf numFmtId="172" fontId="7" fillId="0" borderId="8" xfId="0" applyNumberFormat="1" applyFont="1" applyBorder="1" applyAlignment="1">
      <alignment horizontal="center" vertical="center"/>
    </xf>
    <xf numFmtId="1" fontId="0" fillId="0" borderId="22" xfId="0" applyNumberFormat="1" applyBorder="1" applyAlignment="1">
      <alignment horizontal="center" vertical="center"/>
    </xf>
    <xf numFmtId="165" fontId="0" fillId="0" borderId="22" xfId="0" applyNumberFormat="1" applyBorder="1" applyAlignment="1">
      <alignment horizontal="center" vertical="center"/>
    </xf>
    <xf numFmtId="1" fontId="0" fillId="0" borderId="22" xfId="0" applyNumberFormat="1" applyBorder="1" applyAlignment="1">
      <alignment horizontal="center" vertical="center" readingOrder="2"/>
    </xf>
    <xf numFmtId="0" fontId="4" fillId="4" borderId="46" xfId="0" applyFont="1" applyFill="1" applyBorder="1" applyAlignment="1">
      <alignment horizontal="center" vertical="center"/>
    </xf>
    <xf numFmtId="164" fontId="4" fillId="3" borderId="46" xfId="1" applyNumberFormat="1" applyFont="1" applyFill="1" applyBorder="1" applyAlignment="1">
      <alignment horizontal="center" vertical="center" wrapText="1"/>
    </xf>
    <xf numFmtId="164" fontId="4" fillId="4" borderId="46" xfId="1" applyNumberFormat="1" applyFont="1" applyFill="1" applyBorder="1" applyAlignment="1">
      <alignment horizontal="center" vertical="center" wrapText="1"/>
    </xf>
    <xf numFmtId="0" fontId="0" fillId="0" borderId="22" xfId="1" applyNumberFormat="1" applyFont="1" applyBorder="1" applyAlignment="1">
      <alignment horizontal="center" vertical="center"/>
    </xf>
    <xf numFmtId="164" fontId="0" fillId="0" borderId="22" xfId="1" applyNumberFormat="1" applyFont="1" applyBorder="1" applyAlignment="1">
      <alignment vertical="center"/>
    </xf>
    <xf numFmtId="9" fontId="0" fillId="0" borderId="22" xfId="2" applyFont="1" applyBorder="1" applyAlignment="1">
      <alignment horizontal="center" vertical="center"/>
    </xf>
    <xf numFmtId="0" fontId="4" fillId="4" borderId="46" xfId="0" applyFont="1" applyFill="1" applyBorder="1" applyAlignment="1">
      <alignment horizontal="center" vertical="center" wrapText="1"/>
    </xf>
    <xf numFmtId="0" fontId="8" fillId="0" borderId="17" xfId="0" applyFont="1" applyBorder="1" applyAlignment="1">
      <alignment horizontal="left"/>
    </xf>
    <xf numFmtId="0" fontId="8" fillId="0" borderId="17" xfId="0" applyFont="1" applyBorder="1" applyAlignment="1">
      <alignment horizontal="center"/>
    </xf>
    <xf numFmtId="3" fontId="0" fillId="0" borderId="9" xfId="0" applyNumberFormat="1" applyBorder="1" applyAlignment="1">
      <alignment horizontal="center" vertical="center"/>
    </xf>
    <xf numFmtId="0" fontId="8" fillId="0" borderId="0" xfId="0" applyFont="1" applyAlignment="1">
      <alignment horizontal="left"/>
    </xf>
    <xf numFmtId="0" fontId="8" fillId="0" borderId="0" xfId="0" applyFont="1" applyAlignment="1">
      <alignment horizontal="center"/>
    </xf>
    <xf numFmtId="0" fontId="4" fillId="4" borderId="47" xfId="0" applyFont="1" applyFill="1" applyBorder="1" applyAlignment="1" applyProtection="1">
      <alignment horizontal="center" vertical="center" wrapText="1"/>
      <protection locked="0"/>
    </xf>
    <xf numFmtId="0" fontId="4" fillId="4" borderId="48" xfId="0" applyFont="1" applyFill="1" applyBorder="1" applyAlignment="1" applyProtection="1">
      <alignment horizontal="center" vertical="center" wrapText="1"/>
      <protection locked="0"/>
    </xf>
    <xf numFmtId="0" fontId="4" fillId="4" borderId="48" xfId="0" applyFont="1" applyFill="1" applyBorder="1" applyAlignment="1" applyProtection="1">
      <alignment horizontal="center" vertical="center" wrapText="1" readingOrder="2"/>
      <protection locked="0"/>
    </xf>
    <xf numFmtId="0" fontId="3" fillId="0" borderId="6" xfId="3" applyBorder="1" applyAlignment="1">
      <alignment vertical="center"/>
    </xf>
    <xf numFmtId="0" fontId="3" fillId="0" borderId="6" xfId="3" applyBorder="1" applyAlignment="1">
      <alignment horizontal="right" vertical="center" readingOrder="2"/>
    </xf>
    <xf numFmtId="0" fontId="3" fillId="0" borderId="4" xfId="3" applyBorder="1" applyAlignment="1">
      <alignment vertical="center" readingOrder="2"/>
    </xf>
    <xf numFmtId="0" fontId="3" fillId="0" borderId="18" xfId="3" applyBorder="1" applyAlignment="1">
      <alignment horizontal="center" vertical="center"/>
    </xf>
    <xf numFmtId="164" fontId="4" fillId="4" borderId="34" xfId="0" applyNumberFormat="1" applyFont="1" applyFill="1" applyBorder="1" applyAlignment="1">
      <alignment horizontal="center" vertical="center" wrapText="1"/>
    </xf>
    <xf numFmtId="170" fontId="0" fillId="0" borderId="8" xfId="0" applyNumberFormat="1" applyBorder="1" applyAlignment="1">
      <alignment horizontal="center" vertical="center"/>
    </xf>
    <xf numFmtId="170" fontId="7" fillId="18" borderId="8" xfId="0" applyNumberFormat="1" applyFont="1" applyFill="1" applyBorder="1" applyAlignment="1">
      <alignment horizontal="center" vertical="center"/>
    </xf>
    <xf numFmtId="0" fontId="7" fillId="21" borderId="8" xfId="0" applyFont="1" applyFill="1" applyBorder="1" applyAlignment="1">
      <alignment horizontal="center" vertical="center"/>
    </xf>
    <xf numFmtId="3" fontId="0" fillId="22" borderId="8" xfId="0" applyNumberFormat="1" applyFill="1" applyBorder="1" applyAlignment="1">
      <alignment horizontal="center" vertical="center"/>
    </xf>
    <xf numFmtId="0" fontId="0" fillId="22" borderId="8" xfId="0" applyFill="1" applyBorder="1" applyAlignment="1">
      <alignment horizontal="center"/>
    </xf>
    <xf numFmtId="0" fontId="7" fillId="21" borderId="12" xfId="0" applyFont="1" applyFill="1" applyBorder="1" applyAlignment="1">
      <alignment horizontal="center" vertical="center"/>
    </xf>
    <xf numFmtId="168" fontId="7" fillId="21" borderId="12" xfId="0" applyNumberFormat="1" applyFont="1" applyFill="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left" vertical="center"/>
    </xf>
    <xf numFmtId="0" fontId="11" fillId="0" borderId="52" xfId="0" applyFont="1" applyBorder="1"/>
    <xf numFmtId="0" fontId="10" fillId="0" borderId="0" xfId="0" applyFont="1" applyAlignment="1">
      <alignment horizontal="right" vertical="center"/>
    </xf>
    <xf numFmtId="0" fontId="3" fillId="0" borderId="6" xfId="3" applyBorder="1" applyAlignment="1">
      <alignment vertical="center" readingOrder="2"/>
    </xf>
    <xf numFmtId="0" fontId="4" fillId="0" borderId="0" xfId="0" applyFont="1" applyAlignment="1">
      <alignment horizontal="center" vertical="center"/>
    </xf>
    <xf numFmtId="3" fontId="4" fillId="0" borderId="0" xfId="0" applyNumberFormat="1" applyFont="1" applyAlignment="1">
      <alignment horizontal="center" vertical="center"/>
    </xf>
    <xf numFmtId="3" fontId="16" fillId="0" borderId="0" xfId="0" applyNumberFormat="1" applyFont="1" applyAlignment="1">
      <alignment horizontal="center" vertical="center"/>
    </xf>
    <xf numFmtId="173" fontId="0" fillId="22" borderId="8" xfId="0" applyNumberFormat="1" applyFill="1" applyBorder="1" applyAlignment="1">
      <alignment horizontal="center" vertical="center"/>
    </xf>
    <xf numFmtId="0" fontId="7" fillId="21" borderId="9" xfId="0" applyFont="1" applyFill="1" applyBorder="1" applyAlignment="1">
      <alignment horizontal="center" vertical="center"/>
    </xf>
    <xf numFmtId="0" fontId="4" fillId="4" borderId="53" xfId="0" applyFont="1" applyFill="1" applyBorder="1" applyAlignment="1">
      <alignment horizontal="center" vertical="center"/>
    </xf>
    <xf numFmtId="0" fontId="7" fillId="21" borderId="16" xfId="0" applyFont="1" applyFill="1" applyBorder="1" applyAlignment="1">
      <alignment horizontal="center" vertical="center"/>
    </xf>
    <xf numFmtId="0" fontId="7" fillId="21" borderId="22" xfId="0" applyFont="1" applyFill="1" applyBorder="1" applyAlignment="1">
      <alignment horizontal="center" vertical="center"/>
    </xf>
    <xf numFmtId="0" fontId="4" fillId="4" borderId="54" xfId="0" applyFont="1" applyFill="1" applyBorder="1" applyAlignment="1">
      <alignment horizontal="center" vertical="center"/>
    </xf>
    <xf numFmtId="0" fontId="4" fillId="4" borderId="56" xfId="0" applyFont="1" applyFill="1" applyBorder="1" applyAlignment="1">
      <alignment horizontal="center" vertical="center"/>
    </xf>
    <xf numFmtId="0" fontId="4" fillId="23" borderId="53" xfId="0" applyFont="1" applyFill="1" applyBorder="1" applyAlignment="1">
      <alignment horizontal="center" vertical="center"/>
    </xf>
    <xf numFmtId="174" fontId="0" fillId="22" borderId="8" xfId="0" applyNumberFormat="1" applyFill="1" applyBorder="1" applyAlignment="1">
      <alignment horizontal="center" vertical="center"/>
    </xf>
    <xf numFmtId="174" fontId="7" fillId="21" borderId="8" xfId="0" applyNumberFormat="1" applyFont="1" applyFill="1" applyBorder="1" applyAlignment="1">
      <alignment horizontal="center" vertical="center"/>
    </xf>
    <xf numFmtId="174" fontId="4" fillId="4" borderId="8" xfId="0" applyNumberFormat="1" applyFont="1" applyFill="1" applyBorder="1" applyAlignment="1">
      <alignment horizontal="center" vertical="center"/>
    </xf>
    <xf numFmtId="0" fontId="7" fillId="25" borderId="0" xfId="0" applyFont="1" applyFill="1" applyAlignment="1">
      <alignment horizontal="center" vertical="center"/>
    </xf>
    <xf numFmtId="0" fontId="3" fillId="2" borderId="10" xfId="3" applyFill="1" applyBorder="1" applyAlignment="1">
      <alignment horizontal="center" vertical="center"/>
    </xf>
    <xf numFmtId="0" fontId="3" fillId="2" borderId="12" xfId="3" applyFill="1" applyBorder="1" applyAlignment="1">
      <alignment horizontal="center" vertical="center"/>
    </xf>
    <xf numFmtId="0" fontId="8" fillId="0" borderId="0" xfId="0" applyFont="1" applyAlignment="1">
      <alignment horizontal="left" vertical="center" wrapText="1"/>
    </xf>
    <xf numFmtId="0" fontId="8" fillId="0" borderId="0" xfId="0" applyFont="1" applyAlignment="1">
      <alignment horizontal="left"/>
    </xf>
    <xf numFmtId="0" fontId="4" fillId="4" borderId="42"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35" xfId="0" applyFont="1" applyFill="1" applyBorder="1" applyAlignment="1">
      <alignment horizontal="center" vertical="center"/>
    </xf>
    <xf numFmtId="0" fontId="4" fillId="4" borderId="22" xfId="0" applyFont="1" applyFill="1" applyBorder="1" applyAlignment="1">
      <alignment horizontal="center" vertical="center"/>
    </xf>
    <xf numFmtId="0" fontId="9" fillId="0" borderId="0" xfId="0" applyFont="1" applyAlignment="1">
      <alignment horizontal="left"/>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4" fillId="4" borderId="9" xfId="0" applyFont="1" applyFill="1" applyBorder="1" applyAlignment="1">
      <alignment horizontal="center" vertical="center" wrapText="1"/>
    </xf>
    <xf numFmtId="0" fontId="4" fillId="4" borderId="35"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7" fillId="8" borderId="10" xfId="0" applyFont="1" applyFill="1" applyBorder="1" applyAlignment="1">
      <alignment horizontal="center" vertical="center"/>
    </xf>
    <xf numFmtId="0" fontId="7" fillId="8" borderId="12" xfId="0" applyFont="1" applyFill="1"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7" fillId="0" borderId="9" xfId="0" applyFont="1" applyBorder="1" applyAlignment="1">
      <alignment horizontal="center" vertical="center"/>
    </xf>
    <xf numFmtId="0" fontId="7" fillId="0" borderId="22" xfId="0" applyFont="1" applyBorder="1" applyAlignment="1">
      <alignment horizontal="center" vertical="center"/>
    </xf>
    <xf numFmtId="3" fontId="0" fillId="0" borderId="9" xfId="0" applyNumberFormat="1" applyBorder="1" applyAlignment="1">
      <alignment horizontal="center" vertical="center"/>
    </xf>
    <xf numFmtId="3" fontId="0" fillId="0" borderId="22" xfId="0" applyNumberFormat="1" applyBorder="1" applyAlignment="1">
      <alignment horizontal="center" vertical="center"/>
    </xf>
    <xf numFmtId="0" fontId="7" fillId="2" borderId="41" xfId="0" applyFont="1" applyFill="1" applyBorder="1" applyAlignment="1">
      <alignment horizontal="center" vertical="center"/>
    </xf>
    <xf numFmtId="0" fontId="7" fillId="2" borderId="42"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16" xfId="0" applyFont="1" applyFill="1" applyBorder="1" applyAlignment="1">
      <alignment horizontal="center" vertical="center"/>
    </xf>
    <xf numFmtId="3" fontId="7" fillId="2" borderId="41" xfId="0" applyNumberFormat="1" applyFont="1" applyFill="1" applyBorder="1" applyAlignment="1">
      <alignment horizontal="center" vertical="center"/>
    </xf>
    <xf numFmtId="3" fontId="7" fillId="2" borderId="42" xfId="0" applyNumberFormat="1" applyFont="1" applyFill="1" applyBorder="1" applyAlignment="1">
      <alignment horizontal="center" vertical="center"/>
    </xf>
    <xf numFmtId="3" fontId="7" fillId="2" borderId="15" xfId="0" applyNumberFormat="1" applyFont="1" applyFill="1" applyBorder="1" applyAlignment="1">
      <alignment horizontal="center" vertical="center"/>
    </xf>
    <xf numFmtId="3" fontId="7" fillId="2" borderId="16" xfId="0" applyNumberFormat="1" applyFont="1" applyFill="1" applyBorder="1" applyAlignment="1">
      <alignment horizontal="center" vertical="center"/>
    </xf>
    <xf numFmtId="0" fontId="4" fillId="4" borderId="41" xfId="0" applyFont="1" applyFill="1" applyBorder="1" applyAlignment="1">
      <alignment horizontal="center" vertical="center"/>
    </xf>
    <xf numFmtId="0" fontId="4" fillId="4" borderId="14" xfId="0" applyFont="1" applyFill="1" applyBorder="1" applyAlignment="1">
      <alignment horizontal="center" vertical="center"/>
    </xf>
    <xf numFmtId="0" fontId="4" fillId="4" borderId="15" xfId="0" applyFont="1" applyFill="1" applyBorder="1" applyAlignment="1">
      <alignment horizontal="center" vertical="center"/>
    </xf>
    <xf numFmtId="0" fontId="4" fillId="20" borderId="44" xfId="0" applyFont="1" applyFill="1" applyBorder="1" applyAlignment="1">
      <alignment horizontal="center" vertical="center"/>
    </xf>
    <xf numFmtId="0" fontId="4" fillId="20" borderId="11" xfId="0" applyFont="1" applyFill="1" applyBorder="1" applyAlignment="1">
      <alignment horizontal="center" vertical="center"/>
    </xf>
    <xf numFmtId="0" fontId="4" fillId="20" borderId="26" xfId="0" applyFont="1" applyFill="1" applyBorder="1" applyAlignment="1">
      <alignment horizontal="center" vertical="center"/>
    </xf>
    <xf numFmtId="164" fontId="4" fillId="4" borderId="0" xfId="0" applyNumberFormat="1" applyFont="1" applyFill="1" applyAlignment="1">
      <alignment horizontal="center" vertical="center" wrapText="1"/>
    </xf>
    <xf numFmtId="164" fontId="4" fillId="4" borderId="17" xfId="0" applyNumberFormat="1" applyFont="1" applyFill="1" applyBorder="1" applyAlignment="1">
      <alignment horizontal="center" vertical="center" wrapText="1"/>
    </xf>
    <xf numFmtId="0" fontId="4" fillId="20" borderId="33" xfId="0" applyFont="1" applyFill="1" applyBorder="1" applyAlignment="1">
      <alignment horizontal="center" vertical="center"/>
    </xf>
    <xf numFmtId="0" fontId="4" fillId="20" borderId="0" xfId="0" applyFont="1" applyFill="1" applyAlignment="1">
      <alignment horizontal="center" vertical="center"/>
    </xf>
    <xf numFmtId="0" fontId="4" fillId="4" borderId="32" xfId="0" applyFont="1" applyFill="1" applyBorder="1" applyAlignment="1">
      <alignment horizontal="center" vertical="center"/>
    </xf>
    <xf numFmtId="0" fontId="4" fillId="4" borderId="25" xfId="0" applyFont="1" applyFill="1" applyBorder="1" applyAlignment="1">
      <alignment horizontal="center" vertical="center"/>
    </xf>
    <xf numFmtId="0" fontId="4" fillId="4" borderId="45"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0" xfId="0" applyFont="1" applyFill="1" applyAlignment="1">
      <alignment horizontal="center" vertical="center"/>
    </xf>
    <xf numFmtId="0" fontId="4" fillId="4" borderId="17" xfId="0" applyFont="1" applyFill="1" applyBorder="1" applyAlignment="1">
      <alignment horizontal="center" vertical="center"/>
    </xf>
    <xf numFmtId="0" fontId="10" fillId="13" borderId="0" xfId="0" applyFont="1" applyFill="1" applyAlignment="1">
      <alignment horizontal="right" vertical="center"/>
    </xf>
    <xf numFmtId="0" fontId="4" fillId="20" borderId="34" xfId="0" applyFont="1" applyFill="1" applyBorder="1" applyAlignment="1">
      <alignment horizontal="center" vertical="center"/>
    </xf>
    <xf numFmtId="0" fontId="4" fillId="20" borderId="17" xfId="0" applyFont="1" applyFill="1" applyBorder="1" applyAlignment="1">
      <alignment horizontal="center" vertical="center"/>
    </xf>
    <xf numFmtId="0" fontId="4" fillId="20" borderId="25" xfId="0" applyFont="1" applyFill="1" applyBorder="1" applyAlignment="1">
      <alignment horizontal="center" vertical="center"/>
    </xf>
    <xf numFmtId="1" fontId="7" fillId="2" borderId="10" xfId="0" applyNumberFormat="1" applyFont="1" applyFill="1" applyBorder="1" applyAlignment="1">
      <alignment horizontal="center" vertical="center"/>
    </xf>
    <xf numFmtId="1" fontId="7" fillId="2" borderId="12" xfId="0" applyNumberFormat="1" applyFont="1" applyFill="1" applyBorder="1" applyAlignment="1">
      <alignment horizontal="center" vertical="center"/>
    </xf>
    <xf numFmtId="1" fontId="7" fillId="2" borderId="10" xfId="0" applyNumberFormat="1" applyFont="1" applyFill="1" applyBorder="1" applyAlignment="1">
      <alignment horizontal="center" vertical="center" readingOrder="2"/>
    </xf>
    <xf numFmtId="1" fontId="7" fillId="2" borderId="12" xfId="0" applyNumberFormat="1" applyFont="1" applyFill="1" applyBorder="1" applyAlignment="1">
      <alignment horizontal="center" vertical="center" readingOrder="2"/>
    </xf>
    <xf numFmtId="0" fontId="8" fillId="0" borderId="0" xfId="0" applyFont="1" applyAlignment="1">
      <alignment horizontal="center"/>
    </xf>
    <xf numFmtId="3" fontId="7" fillId="0" borderId="9" xfId="0" applyNumberFormat="1" applyFont="1" applyBorder="1" applyAlignment="1">
      <alignment horizontal="center" vertical="center"/>
    </xf>
    <xf numFmtId="3" fontId="7" fillId="0" borderId="22" xfId="0" applyNumberFormat="1" applyFont="1" applyBorder="1" applyAlignment="1">
      <alignment horizontal="center" vertical="center"/>
    </xf>
    <xf numFmtId="0" fontId="4" fillId="23" borderId="53" xfId="0" applyFont="1" applyFill="1" applyBorder="1" applyAlignment="1">
      <alignment horizontal="center" vertical="center"/>
    </xf>
    <xf numFmtId="0" fontId="4" fillId="4" borderId="54" xfId="0" applyFont="1" applyFill="1" applyBorder="1" applyAlignment="1">
      <alignment horizontal="center" vertical="center"/>
    </xf>
    <xf numFmtId="0" fontId="4" fillId="4" borderId="53" xfId="0" applyFont="1" applyFill="1" applyBorder="1" applyAlignment="1">
      <alignment horizontal="center" vertical="center"/>
    </xf>
    <xf numFmtId="174" fontId="4" fillId="24" borderId="10" xfId="0" applyNumberFormat="1" applyFont="1" applyFill="1" applyBorder="1" applyAlignment="1">
      <alignment horizontal="center" vertical="center"/>
    </xf>
    <xf numFmtId="174" fontId="4" fillId="24" borderId="12" xfId="0" applyNumberFormat="1" applyFont="1" applyFill="1" applyBorder="1" applyAlignment="1">
      <alignment horizontal="center" vertical="center"/>
    </xf>
    <xf numFmtId="3" fontId="4" fillId="4" borderId="54" xfId="0" applyNumberFormat="1" applyFont="1" applyFill="1" applyBorder="1" applyAlignment="1">
      <alignment horizontal="center" vertical="center"/>
    </xf>
    <xf numFmtId="3" fontId="4" fillId="4" borderId="55" xfId="0" applyNumberFormat="1" applyFont="1" applyFill="1" applyBorder="1" applyAlignment="1">
      <alignment horizontal="center" vertical="center"/>
    </xf>
    <xf numFmtId="3" fontId="4" fillId="4" borderId="56" xfId="0" applyNumberFormat="1" applyFont="1" applyFill="1" applyBorder="1" applyAlignment="1">
      <alignment horizontal="center" vertical="center"/>
    </xf>
    <xf numFmtId="3" fontId="0" fillId="0" borderId="49" xfId="0" applyNumberFormat="1" applyBorder="1" applyAlignment="1">
      <alignment horizontal="center" vertical="center" wrapText="1"/>
    </xf>
    <xf numFmtId="3" fontId="0" fillId="0" borderId="50" xfId="0" applyNumberFormat="1" applyBorder="1" applyAlignment="1">
      <alignment horizontal="center" vertical="center" wrapText="1"/>
    </xf>
    <xf numFmtId="3" fontId="0" fillId="0" borderId="51" xfId="0" applyNumberFormat="1" applyBorder="1" applyAlignment="1">
      <alignment horizontal="center" vertical="center" wrapText="1"/>
    </xf>
    <xf numFmtId="0" fontId="18" fillId="0" borderId="0" xfId="0" applyFont="1" applyAlignment="1">
      <alignment horizontal="center" vertical="center"/>
    </xf>
    <xf numFmtId="0" fontId="7" fillId="2" borderId="9" xfId="0" applyFont="1" applyFill="1" applyBorder="1" applyAlignment="1">
      <alignment horizontal="center" vertical="center" wrapText="1"/>
    </xf>
    <xf numFmtId="0" fontId="7" fillId="2" borderId="35"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35" xfId="0" applyFont="1" applyFill="1" applyBorder="1" applyAlignment="1">
      <alignment horizontal="center" vertical="center" wrapText="1"/>
    </xf>
    <xf numFmtId="0" fontId="17" fillId="2" borderId="22" xfId="0" applyFont="1" applyFill="1" applyBorder="1" applyAlignment="1">
      <alignment horizontal="center" vertical="center" wrapText="1"/>
    </xf>
    <xf numFmtId="3" fontId="12" fillId="0" borderId="0" xfId="0" applyNumberFormat="1" applyFont="1" applyAlignment="1">
      <alignment horizontal="center" vertical="center"/>
    </xf>
    <xf numFmtId="3" fontId="10" fillId="0" borderId="0" xfId="0" applyNumberFormat="1" applyFont="1" applyAlignment="1">
      <alignment horizontal="center" vertical="center"/>
    </xf>
    <xf numFmtId="43" fontId="11" fillId="0" borderId="0" xfId="0" applyNumberFormat="1" applyFont="1"/>
    <xf numFmtId="174" fontId="7" fillId="21" borderId="9" xfId="0" applyNumberFormat="1" applyFont="1" applyFill="1" applyBorder="1" applyAlignment="1">
      <alignment horizontal="center" vertical="center"/>
    </xf>
    <xf numFmtId="174" fontId="7" fillId="21" borderId="10" xfId="0" applyNumberFormat="1" applyFont="1" applyFill="1" applyBorder="1" applyAlignment="1">
      <alignment horizontal="center" vertical="center"/>
    </xf>
    <xf numFmtId="3" fontId="4" fillId="4" borderId="57" xfId="0" applyNumberFormat="1" applyFont="1" applyFill="1" applyBorder="1" applyAlignment="1">
      <alignment horizontal="center" vertical="center"/>
    </xf>
    <xf numFmtId="3" fontId="4" fillId="4" borderId="58" xfId="0" applyNumberFormat="1" applyFont="1" applyFill="1" applyBorder="1" applyAlignment="1">
      <alignment horizontal="center" vertical="center"/>
    </xf>
    <xf numFmtId="3" fontId="4" fillId="4" borderId="59" xfId="0" applyNumberFormat="1" applyFont="1" applyFill="1" applyBorder="1" applyAlignment="1">
      <alignment horizontal="center" vertical="center"/>
    </xf>
    <xf numFmtId="174" fontId="0" fillId="0" borderId="0" xfId="0" applyNumberFormat="1"/>
  </cellXfs>
  <cellStyles count="5">
    <cellStyle name="Check Cell" xfId="4" builtinId="23"/>
    <cellStyle name="Comma" xfId="1" builtinId="3"/>
    <cellStyle name="Hyperlink" xfId="3" builtinId="8"/>
    <cellStyle name="Normal" xfId="0" builtinId="0"/>
    <cellStyle name="Percent" xfId="2" builtinId="5"/>
  </cellStyles>
  <dxfs count="0"/>
  <tableStyles count="0" defaultTableStyle="TableStyleMedium2" defaultPivotStyle="PivotStyleLight16"/>
  <colors>
    <mruColors>
      <color rgb="FF162646"/>
      <color rgb="FFC3D0EB"/>
      <color rgb="FFEBEFF9"/>
      <color rgb="FFDFE6F5"/>
      <color rgb="FF688ACE"/>
      <color rgb="FFF2F2F2"/>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showGridLines="0" tabSelected="1" zoomScale="80" zoomScaleNormal="80" workbookViewId="0">
      <selection activeCell="I30" sqref="I30"/>
    </sheetView>
  </sheetViews>
  <sheetFormatPr defaultColWidth="8.81640625" defaultRowHeight="14.5" x14ac:dyDescent="0.35"/>
  <cols>
    <col min="2" max="2" width="8.81640625" style="4" customWidth="1"/>
    <col min="3" max="3" width="61.453125" bestFit="1" customWidth="1"/>
    <col min="4" max="4" width="44.453125" style="122" bestFit="1" customWidth="1"/>
  </cols>
  <sheetData>
    <row r="1" spans="1:4" x14ac:dyDescent="0.35">
      <c r="A1" s="9" t="s">
        <v>524</v>
      </c>
      <c r="B1"/>
      <c r="D1"/>
    </row>
    <row r="3" spans="1:4" ht="15" thickBot="1" x14ac:dyDescent="0.4"/>
    <row r="4" spans="1:4" s="4" customFormat="1" ht="29.5" thickBot="1" x14ac:dyDescent="0.4">
      <c r="B4" s="194" t="s">
        <v>124</v>
      </c>
      <c r="C4" s="195" t="s">
        <v>0</v>
      </c>
      <c r="D4" s="196" t="s">
        <v>132</v>
      </c>
    </row>
    <row r="5" spans="1:4" s="32" customFormat="1" ht="18" customHeight="1" x14ac:dyDescent="0.35">
      <c r="B5" s="4"/>
      <c r="D5" s="123"/>
    </row>
    <row r="6" spans="1:4" s="32" customFormat="1" ht="18" customHeight="1" x14ac:dyDescent="0.35">
      <c r="B6" s="124" t="s">
        <v>3</v>
      </c>
      <c r="C6" s="125" t="s">
        <v>143</v>
      </c>
      <c r="D6" s="126" t="s">
        <v>142</v>
      </c>
    </row>
    <row r="7" spans="1:4" s="32" customFormat="1" ht="18" customHeight="1" x14ac:dyDescent="0.35">
      <c r="B7" s="127" t="s">
        <v>5</v>
      </c>
      <c r="C7" s="128" t="s">
        <v>123</v>
      </c>
      <c r="D7" s="129" t="s">
        <v>125</v>
      </c>
    </row>
    <row r="8" spans="1:4" s="32" customFormat="1" ht="18" customHeight="1" x14ac:dyDescent="0.35">
      <c r="B8" s="130" t="s">
        <v>6</v>
      </c>
      <c r="C8" s="131" t="s">
        <v>7</v>
      </c>
      <c r="D8" s="132" t="s">
        <v>126</v>
      </c>
    </row>
    <row r="9" spans="1:4" s="32" customFormat="1" ht="18" customHeight="1" x14ac:dyDescent="0.35">
      <c r="B9" s="4"/>
      <c r="C9" s="16"/>
      <c r="D9" s="133"/>
    </row>
    <row r="10" spans="1:4" s="32" customFormat="1" ht="18" customHeight="1" x14ac:dyDescent="0.35">
      <c r="B10" s="134" t="s">
        <v>4</v>
      </c>
      <c r="C10" s="135" t="s">
        <v>1</v>
      </c>
      <c r="D10" s="126" t="s">
        <v>21</v>
      </c>
    </row>
    <row r="11" spans="1:4" s="32" customFormat="1" ht="18" customHeight="1" x14ac:dyDescent="0.35">
      <c r="B11" s="127" t="s">
        <v>8</v>
      </c>
      <c r="C11" s="136" t="s">
        <v>116</v>
      </c>
      <c r="D11" s="137" t="s">
        <v>127</v>
      </c>
    </row>
    <row r="12" spans="1:4" s="32" customFormat="1" ht="18" customHeight="1" x14ac:dyDescent="0.35">
      <c r="B12" s="138" t="s">
        <v>9</v>
      </c>
      <c r="C12" s="136" t="s">
        <v>293</v>
      </c>
      <c r="D12" s="137" t="s">
        <v>296</v>
      </c>
    </row>
    <row r="13" spans="1:4" s="32" customFormat="1" ht="18" customHeight="1" x14ac:dyDescent="0.35">
      <c r="B13" s="138" t="s">
        <v>117</v>
      </c>
      <c r="C13" s="136" t="s">
        <v>294</v>
      </c>
      <c r="D13" s="137" t="s">
        <v>295</v>
      </c>
    </row>
    <row r="14" spans="1:4" s="32" customFormat="1" ht="18" customHeight="1" x14ac:dyDescent="0.35">
      <c r="B14" s="138" t="s">
        <v>10</v>
      </c>
      <c r="C14" s="136" t="s">
        <v>128</v>
      </c>
      <c r="D14" s="137" t="s">
        <v>129</v>
      </c>
    </row>
    <row r="15" spans="1:4" s="32" customFormat="1" ht="18" customHeight="1" x14ac:dyDescent="0.35">
      <c r="B15" s="138" t="s">
        <v>11</v>
      </c>
      <c r="C15" s="136" t="s">
        <v>300</v>
      </c>
      <c r="D15" s="137" t="s">
        <v>297</v>
      </c>
    </row>
    <row r="16" spans="1:4" s="32" customFormat="1" ht="18" customHeight="1" x14ac:dyDescent="0.35">
      <c r="B16" s="138" t="s">
        <v>12</v>
      </c>
      <c r="C16" s="136" t="s">
        <v>457</v>
      </c>
      <c r="D16" s="137" t="s">
        <v>458</v>
      </c>
    </row>
    <row r="17" spans="2:4" s="32" customFormat="1" ht="18" customHeight="1" x14ac:dyDescent="0.35">
      <c r="B17" s="138" t="s">
        <v>134</v>
      </c>
      <c r="C17" s="136" t="s">
        <v>301</v>
      </c>
      <c r="D17" s="137" t="s">
        <v>298</v>
      </c>
    </row>
    <row r="18" spans="2:4" s="32" customFormat="1" ht="18" customHeight="1" x14ac:dyDescent="0.35">
      <c r="B18" s="138" t="s">
        <v>135</v>
      </c>
      <c r="C18" s="136" t="s">
        <v>302</v>
      </c>
      <c r="D18" s="137" t="s">
        <v>299</v>
      </c>
    </row>
    <row r="19" spans="2:4" s="32" customFormat="1" ht="18" customHeight="1" x14ac:dyDescent="0.35">
      <c r="B19" s="139" t="s">
        <v>459</v>
      </c>
      <c r="C19" s="197" t="s">
        <v>460</v>
      </c>
      <c r="D19" s="198" t="s">
        <v>461</v>
      </c>
    </row>
    <row r="20" spans="2:4" s="32" customFormat="1" ht="18" customHeight="1" x14ac:dyDescent="0.35">
      <c r="B20" s="4"/>
      <c r="D20" s="123"/>
    </row>
    <row r="21" spans="2:4" s="32" customFormat="1" ht="18" customHeight="1" x14ac:dyDescent="0.35">
      <c r="B21" s="134" t="s">
        <v>13</v>
      </c>
      <c r="C21" s="135" t="s">
        <v>2</v>
      </c>
      <c r="D21" s="126" t="s">
        <v>28</v>
      </c>
    </row>
    <row r="22" spans="2:4" s="32" customFormat="1" ht="18" customHeight="1" x14ac:dyDescent="0.35">
      <c r="B22" s="127" t="s">
        <v>14</v>
      </c>
      <c r="C22" s="136" t="s">
        <v>118</v>
      </c>
      <c r="D22" s="199" t="s">
        <v>133</v>
      </c>
    </row>
    <row r="23" spans="2:4" s="32" customFormat="1" ht="18" customHeight="1" x14ac:dyDescent="0.35">
      <c r="B23" s="138" t="s">
        <v>15</v>
      </c>
      <c r="C23" s="136" t="s">
        <v>308</v>
      </c>
      <c r="D23" s="199" t="s">
        <v>303</v>
      </c>
    </row>
    <row r="24" spans="2:4" s="32" customFormat="1" ht="18" customHeight="1" x14ac:dyDescent="0.35">
      <c r="B24" s="138" t="s">
        <v>119</v>
      </c>
      <c r="C24" s="136" t="s">
        <v>309</v>
      </c>
      <c r="D24" s="199" t="s">
        <v>304</v>
      </c>
    </row>
    <row r="25" spans="2:4" s="32" customFormat="1" ht="18" customHeight="1" x14ac:dyDescent="0.35">
      <c r="B25" s="138" t="s">
        <v>16</v>
      </c>
      <c r="C25" s="136" t="s">
        <v>339</v>
      </c>
      <c r="D25" s="137" t="s">
        <v>305</v>
      </c>
    </row>
    <row r="26" spans="2:4" s="32" customFormat="1" ht="18" customHeight="1" x14ac:dyDescent="0.35">
      <c r="B26" s="138" t="s">
        <v>17</v>
      </c>
      <c r="C26" s="136" t="s">
        <v>462</v>
      </c>
      <c r="D26" s="137" t="s">
        <v>463</v>
      </c>
    </row>
    <row r="27" spans="2:4" s="32" customFormat="1" ht="18" customHeight="1" x14ac:dyDescent="0.35">
      <c r="B27" s="138" t="s">
        <v>136</v>
      </c>
      <c r="C27" s="136" t="s">
        <v>310</v>
      </c>
      <c r="D27" s="199" t="s">
        <v>306</v>
      </c>
    </row>
    <row r="28" spans="2:4" s="32" customFormat="1" ht="18" customHeight="1" x14ac:dyDescent="0.35">
      <c r="B28" s="138" t="s">
        <v>137</v>
      </c>
      <c r="C28" s="136" t="s">
        <v>311</v>
      </c>
      <c r="D28" s="199" t="s">
        <v>307</v>
      </c>
    </row>
    <row r="29" spans="2:4" s="32" customFormat="1" ht="18" customHeight="1" x14ac:dyDescent="0.35">
      <c r="B29" s="200" t="s">
        <v>464</v>
      </c>
      <c r="C29" s="197" t="s">
        <v>465</v>
      </c>
      <c r="D29" s="198" t="s">
        <v>466</v>
      </c>
    </row>
    <row r="30" spans="2:4" s="32" customFormat="1" ht="18" customHeight="1" x14ac:dyDescent="0.35">
      <c r="D30" s="123"/>
    </row>
    <row r="31" spans="2:4" s="32" customFormat="1" ht="18" customHeight="1" x14ac:dyDescent="0.35">
      <c r="B31" s="134" t="s">
        <v>483</v>
      </c>
      <c r="C31" s="135" t="s">
        <v>508</v>
      </c>
      <c r="D31" s="126" t="s">
        <v>509</v>
      </c>
    </row>
    <row r="32" spans="2:4" s="32" customFormat="1" ht="18" customHeight="1" x14ac:dyDescent="0.35">
      <c r="B32" s="130" t="s">
        <v>484</v>
      </c>
      <c r="C32" s="197" t="s">
        <v>500</v>
      </c>
      <c r="D32" s="213" t="s">
        <v>506</v>
      </c>
    </row>
    <row r="33" spans="2:4" s="32" customFormat="1" ht="18" customHeight="1" x14ac:dyDescent="0.35">
      <c r="B33" s="4"/>
      <c r="D33" s="123"/>
    </row>
    <row r="34" spans="2:4" x14ac:dyDescent="0.35">
      <c r="B34" s="229" t="s">
        <v>18</v>
      </c>
      <c r="C34" s="230"/>
      <c r="D34" s="140" t="s">
        <v>130</v>
      </c>
    </row>
    <row r="35" spans="2:4" x14ac:dyDescent="0.35">
      <c r="C35" s="32"/>
      <c r="D35" s="123"/>
    </row>
    <row r="36" spans="2:4" x14ac:dyDescent="0.35">
      <c r="B36" s="229" t="s">
        <v>19</v>
      </c>
      <c r="C36" s="230"/>
      <c r="D36" s="140" t="s">
        <v>131</v>
      </c>
    </row>
  </sheetData>
  <mergeCells count="2">
    <mergeCell ref="B34:C34"/>
    <mergeCell ref="B36:C36"/>
  </mergeCells>
  <phoneticPr fontId="1" type="noConversion"/>
  <hyperlinks>
    <hyperlink ref="B36:C36" location="Metadata!A1" display="Metadata" xr:uid="{AB079898-FDFC-4D50-8452-C822B8F9829B}"/>
    <hyperlink ref="B34:C34" location="Definitions!A1" display="Definitions" xr:uid="{296818CB-1764-4D4C-ADFA-433210C02ECA}"/>
    <hyperlink ref="B18:C18" location="I!B90" display="I6" xr:uid="{07710021-4293-4BF8-ACBF-6D8A3594F93F}"/>
    <hyperlink ref="B17:C17" location="I!B73" display="I5" xr:uid="{1005286C-2BE9-4B8C-9F98-4B004A4DB68C}"/>
    <hyperlink ref="B14:C14" location="I!B56" display="I4" xr:uid="{9AC826C2-8728-4021-B015-45E305EA2B4D}"/>
    <hyperlink ref="B13:C13" location="I!B39" display="I3" xr:uid="{11A40698-B8FC-4930-B5B7-152C6E84118C}"/>
    <hyperlink ref="B12:C12" location="I!B22" display="I2" xr:uid="{595BF9F6-C072-425B-943D-F08BFA4B471C}"/>
    <hyperlink ref="B11:C11" location="I!B5" display="I1" xr:uid="{4652B2C4-B6A1-4D65-88C1-66B37D6CAF10}"/>
    <hyperlink ref="B8:C8" location="'G2'!A1" display="G2" xr:uid="{8E9A1B7E-0981-4604-B675-B09E9F848CDE}"/>
    <hyperlink ref="B7:C7" location="'G1'!A1" display="G1" xr:uid="{67EC8278-7B3F-43F5-B078-05EDF0622665}"/>
    <hyperlink ref="B7" location="'G1'!A3" display="G1" xr:uid="{362CB23A-506A-4CCE-BEE2-672E685E0667}"/>
    <hyperlink ref="C7" location="'G1'!A3" display="Key Tourism Indicators in the Kingdom " xr:uid="{120DE642-9A68-4518-A0C1-695B5CDD56C9}"/>
    <hyperlink ref="B8" location="'G2'!A3" display="G2" xr:uid="{90864C93-BD28-45D0-BF09-1547719E5DBE}"/>
    <hyperlink ref="B11" location="'I1'!A3" display="I1" xr:uid="{D2859A23-9C3D-4457-826C-265C484FE7AC}"/>
    <hyperlink ref="C11" location="'I1'!A3" display="Inbound Tourism Key Indicators" xr:uid="{3F79D49F-67E8-497B-A416-C6C67D637103}"/>
    <hyperlink ref="B12" location="'I2'!A3" display="I2" xr:uid="{2EC5A6AE-9C64-404D-A79D-FED54D797E55}"/>
    <hyperlink ref="C12" location="'I2'!A3" display="Inbound Tourist Trips by Main Purpose" xr:uid="{6D06B749-558C-438A-AD18-E61D536B858A}"/>
    <hyperlink ref="B13" location="'I3'!A3" display="I3" xr:uid="{30CC6FB2-F9E7-48E1-B046-9769CAF0AA83}"/>
    <hyperlink ref="C13" location="'I3'!A3" display="Inbound Tourist Trips by Origin- Region" xr:uid="{7633A6D6-0A06-4812-A48E-E4E192610B57}"/>
    <hyperlink ref="B14" location="'I4'!A3" display="I4" xr:uid="{75E94EC9-3BC3-4C9F-820D-6EEDDAE6349E}"/>
    <hyperlink ref="C14" location="'I4'!A3" display="Top 10 Inbound Tourist Markets- Country" xr:uid="{9A00EAFA-C4F9-4167-B565-0F1EA750B496}"/>
    <hyperlink ref="B15" location="'I5'!A3" display="I5" xr:uid="{C2A2A9ED-29E7-4B6E-A1CE-7488CA85B25B}"/>
    <hyperlink ref="C15" location="'I5'!A3" display="Inbound Tourist Trips&amp; Expenditure by Destination- Provinces" xr:uid="{6138A37B-C760-4BBF-8FCE-00C605EB186D}"/>
    <hyperlink ref="B16" location="'I6'!A3" display="I6" xr:uid="{6AE46C1C-C79E-4429-BC45-53A0A238D5E5}"/>
    <hyperlink ref="C16" location="'I6'!A3" display="Inbound Tourist Trips&amp; Expenditure by Destination- Main Cities" xr:uid="{8C15F470-B7FE-4305-80C0-CB86879F6903}"/>
    <hyperlink ref="B17" location="'I7'!A3" display="I7" xr:uid="{5960338C-A28A-4CE6-98C1-F7E453829722}"/>
    <hyperlink ref="C17" location="'I7'!A3" display="Inbound Tourist Trips by Mode of Arrival" xr:uid="{2B9B6432-EF01-4879-AD3B-A437B3785DDB}"/>
    <hyperlink ref="B18" location="'I8'!A3" display="I8" xr:uid="{76501033-688B-4BBD-BF22-0E9E380D73A4}"/>
    <hyperlink ref="D11" location="'I1'!A3" display="المؤشرات الرئيسة للسياحة الوافدة" xr:uid="{AE3C1F89-622F-4FA9-BE11-FA9363C252E0}"/>
    <hyperlink ref="D12" location="'I2'!A1" display="الرحلات السياحية الوافدة حسب الغرض الرئيس" xr:uid="{83DAE4A1-F3DE-4FB7-AF1E-81B464E26DD6}"/>
    <hyperlink ref="D13" location="'I3'!A1" display="الرحلات السياحية الوافدة حسب مناطق القدوم" xr:uid="{2234E1C4-D5F6-44A7-8077-31D09A62746E}"/>
    <hyperlink ref="D14" location="'I4'!A1" display="الأسواق العشرة الأولى المصدرة للسياحة الوافدة للمملكة" xr:uid="{2E38AF77-4DCF-4A00-88E8-7358EB12B86E}"/>
    <hyperlink ref="D15" location="'I5'!A1" display="الرحلات السياحية الوافدة والإنفاق حسب الوجهات- المناطق" xr:uid="{D26663A0-3B1F-4E70-879C-132B971B7E03}"/>
    <hyperlink ref="D16" location="'I6'!A1" display="الرحلات السياحية الوافدة والإنفاق حسب الوجهات- المدن الرئيسة" xr:uid="{7B5AE59A-9417-45A7-BBEE-E148481C575A}"/>
    <hyperlink ref="D17" location="'I7'!A1" display="الرحلات السياحية الوافدة حسب وسيلة الوصول" xr:uid="{3ADC30AF-8AAF-459C-93F0-97B9EB64B640}"/>
    <hyperlink ref="D18" location="'I8'!A1" display="الرحلات السياحية الوافدة حسب مكان الإقامة" xr:uid="{B043E745-8839-4242-8388-2DBAA908BD4F}"/>
    <hyperlink ref="B22:D22" location="'D1'!A1" display="D1" xr:uid="{7617AC4A-D5CB-4587-9C3F-FE38601FFE95}"/>
    <hyperlink ref="B23:D23" location="'D2'!A1" display="D2" xr:uid="{87B0493C-C3D0-4359-B849-A294AD64EC3F}"/>
    <hyperlink ref="B24:D24" location="'D3'!A1" display="D3" xr:uid="{6803B689-1991-4A4E-A937-8AD840FDDA6C}"/>
    <hyperlink ref="B25:D25" location="'D4'!A1" display="D4" xr:uid="{D3FC8A62-45F4-447B-A21B-D56BE6904F66}"/>
    <hyperlink ref="B26:D26" location="'D5'!A1" display="D5" xr:uid="{EB10F311-0F6B-484E-B63A-ACB0F83468C8}"/>
    <hyperlink ref="B27:D27" location="'D6'!A1" display="D6" xr:uid="{EBA7B4F3-C3EC-4C9C-9955-E7C84587080A}"/>
    <hyperlink ref="B34:D34" location="Definitions!A1" display="Definitions" xr:uid="{183D0656-AFCE-42FE-8BB5-4474F951152B}"/>
    <hyperlink ref="B36:D36" location="Metadata!A1" display="Metadata" xr:uid="{034C758B-D67C-4C37-BE42-F38843F11E3D}"/>
    <hyperlink ref="B7:D7" location="'G1'!A3" display="G1" xr:uid="{FCB81938-42B8-4369-A383-CE77078FD266}"/>
    <hyperlink ref="B8:D8" location="'G2'!A3" display="G2" xr:uid="{D808E664-6D0B-454D-853E-E16096318510}"/>
    <hyperlink ref="B19:C19" location="I!B90" display="I6" xr:uid="{6099B244-60D9-40A4-8FCB-E4EDEE33FE40}"/>
    <hyperlink ref="B19" location="'I8'!A3" display="I8" xr:uid="{30832444-8CAE-47F1-9E02-E76FC60794D6}"/>
    <hyperlink ref="D19" location="'I8'!A1" display="الرحلات السياحية الوافدة حسب مكان الإقامة" xr:uid="{B60BE391-AA49-47EA-83C2-C22576E66893}"/>
    <hyperlink ref="C29" location="I!B90" display="I6" xr:uid="{EE005017-E4B2-460E-88EA-6E3D45C7A6CF}"/>
    <hyperlink ref="D29" location="'I8'!A1" display="الرحلات السياحية الوافدة حسب مكان الإقامة" xr:uid="{9513CF21-DE30-4BB7-B810-5623E4BCFF3F}"/>
    <hyperlink ref="B19:D19" location="'I9'!B19" display="I9" xr:uid="{3A325BFF-326D-4BD0-806D-54591C1AAC6C}"/>
    <hyperlink ref="B29:D29" location="'D8'!A1" display="D8" xr:uid="{6A6F9EDC-216E-4558-8E47-BD05E21B31F5}"/>
    <hyperlink ref="B28:D28" location="'D7'!A1" display="D7" xr:uid="{571F4B06-D265-4591-931B-4EE627238BB6}"/>
    <hyperlink ref="B32:D32" location="'S1'!A1" display="S1" xr:uid="{F13B13D1-286E-4561-B28C-32C7E271D404}"/>
  </hyperlinks>
  <pageMargins left="0.7" right="0.7" top="0.75" bottom="0.75" header="0.3" footer="0.3"/>
  <pageSetup orientation="portrait" horizontalDpi="4294967295" verticalDpi="4294967295" r:id="rId1"/>
  <headerFooter>
    <oddFooter>&amp;C&amp;1#&amp;"Calibri"&amp;11&amp;Kffa500CONFIDENTIAL▮▮مقيّد</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M32"/>
  <sheetViews>
    <sheetView showGridLines="0" zoomScale="80" zoomScaleNormal="80" workbookViewId="0">
      <selection activeCell="G31" sqref="G31"/>
    </sheetView>
  </sheetViews>
  <sheetFormatPr defaultColWidth="8.81640625" defaultRowHeight="14.5" x14ac:dyDescent="0.35"/>
  <cols>
    <col min="2" max="2" width="38.54296875" bestFit="1" customWidth="1"/>
    <col min="3" max="3" width="9.54296875" style="4" customWidth="1"/>
    <col min="4" max="4" width="20.1796875" style="108" bestFit="1" customWidth="1"/>
    <col min="5" max="8" width="20.1796875" style="108" customWidth="1"/>
    <col min="9" max="9" width="9.54296875" customWidth="1"/>
    <col min="10" max="10" width="30.54296875" customWidth="1"/>
    <col min="12" max="12" width="12.81640625" bestFit="1" customWidth="1"/>
    <col min="13" max="13" width="12.54296875" bestFit="1" customWidth="1"/>
  </cols>
  <sheetData>
    <row r="1" spans="1:10" x14ac:dyDescent="0.35">
      <c r="A1" s="9" t="s">
        <v>524</v>
      </c>
      <c r="C1"/>
    </row>
    <row r="2" spans="1:10" x14ac:dyDescent="0.35">
      <c r="A2" s="232" t="s">
        <v>448</v>
      </c>
      <c r="B2" s="232"/>
      <c r="C2" s="232"/>
      <c r="D2" s="232"/>
      <c r="E2" s="232"/>
      <c r="F2" s="192"/>
      <c r="G2" s="192"/>
      <c r="H2" s="192"/>
    </row>
    <row r="3" spans="1:10" x14ac:dyDescent="0.35">
      <c r="A3" s="232" t="s">
        <v>449</v>
      </c>
      <c r="B3" s="232"/>
      <c r="C3" s="232"/>
      <c r="D3" s="232"/>
      <c r="E3" s="232"/>
      <c r="F3" s="192"/>
      <c r="G3" s="192"/>
      <c r="H3" s="192"/>
    </row>
    <row r="5" spans="1:10" s="15" customFormat="1" ht="18" customHeight="1" x14ac:dyDescent="0.35">
      <c r="A5" s="10" t="s">
        <v>5</v>
      </c>
      <c r="B5" s="11" t="s">
        <v>123</v>
      </c>
      <c r="C5" s="12"/>
      <c r="D5" s="170"/>
      <c r="E5" s="170"/>
      <c r="F5" s="170"/>
      <c r="G5" s="170"/>
      <c r="H5" s="170"/>
      <c r="I5" s="13"/>
      <c r="J5" s="14" t="s">
        <v>125</v>
      </c>
    </row>
    <row r="6" spans="1:10" x14ac:dyDescent="0.35">
      <c r="A6" s="231"/>
      <c r="B6" s="231"/>
      <c r="C6" s="16"/>
      <c r="D6" s="171"/>
      <c r="E6" s="171"/>
      <c r="F6" s="171"/>
      <c r="G6" s="171"/>
      <c r="H6" s="171"/>
      <c r="I6" s="16"/>
      <c r="J6" s="17"/>
    </row>
    <row r="7" spans="1:10" x14ac:dyDescent="0.35">
      <c r="C7"/>
    </row>
    <row r="8" spans="1:10" ht="18" customHeight="1" x14ac:dyDescent="0.35">
      <c r="C8" s="18" t="s">
        <v>24</v>
      </c>
      <c r="D8" s="19">
        <v>2021</v>
      </c>
      <c r="E8" s="19">
        <v>2022</v>
      </c>
      <c r="F8" s="19">
        <v>2023</v>
      </c>
      <c r="G8" s="19">
        <v>2024</v>
      </c>
      <c r="H8" s="19">
        <v>2025</v>
      </c>
      <c r="I8" s="19" t="s">
        <v>20</v>
      </c>
    </row>
    <row r="9" spans="1:10" ht="18" customHeight="1" x14ac:dyDescent="0.35">
      <c r="B9" s="20" t="s">
        <v>29</v>
      </c>
      <c r="C9" s="21"/>
      <c r="D9" s="21"/>
      <c r="E9" s="21"/>
      <c r="F9" s="21"/>
      <c r="G9" s="21"/>
      <c r="H9" s="21"/>
      <c r="I9" s="21"/>
      <c r="J9" s="22" t="s">
        <v>45</v>
      </c>
    </row>
    <row r="10" spans="1:10" ht="18" customHeight="1" x14ac:dyDescent="0.35">
      <c r="B10" s="23" t="s">
        <v>313</v>
      </c>
      <c r="C10" s="24" t="s">
        <v>25</v>
      </c>
      <c r="D10" s="172">
        <v>3477.2159999999999</v>
      </c>
      <c r="E10" s="172">
        <v>16637.861000000001</v>
      </c>
      <c r="F10" s="172">
        <v>27423.536</v>
      </c>
      <c r="G10" s="172">
        <v>29727.442999999999</v>
      </c>
      <c r="H10" s="172">
        <v>29254.787</v>
      </c>
      <c r="I10" s="24" t="s">
        <v>25</v>
      </c>
      <c r="J10" s="26" t="s">
        <v>312</v>
      </c>
    </row>
    <row r="11" spans="1:10" ht="18" customHeight="1" x14ac:dyDescent="0.35">
      <c r="B11" s="23" t="s">
        <v>315</v>
      </c>
      <c r="C11" s="24" t="s">
        <v>23</v>
      </c>
      <c r="D11" s="172">
        <v>31771.381000000001</v>
      </c>
      <c r="E11" s="172">
        <v>270728.18199999997</v>
      </c>
      <c r="F11" s="172">
        <v>432299.34499999997</v>
      </c>
      <c r="G11" s="172">
        <v>560227.19200000004</v>
      </c>
      <c r="H11" s="172">
        <v>547683.87199999997</v>
      </c>
      <c r="I11" s="24" t="s">
        <v>25</v>
      </c>
      <c r="J11" s="26" t="s">
        <v>314</v>
      </c>
    </row>
    <row r="12" spans="1:10" ht="18" customHeight="1" x14ac:dyDescent="0.35">
      <c r="B12" s="23" t="s">
        <v>317</v>
      </c>
      <c r="C12" s="24" t="s">
        <v>26</v>
      </c>
      <c r="D12" s="172">
        <v>14715.547390489999</v>
      </c>
      <c r="E12" s="172">
        <v>98294.585215140003</v>
      </c>
      <c r="F12" s="172">
        <v>141233.97881808999</v>
      </c>
      <c r="G12" s="172">
        <v>168524.17434632001</v>
      </c>
      <c r="H12" s="172">
        <v>176628.69273344</v>
      </c>
      <c r="I12" s="27" t="s">
        <v>27</v>
      </c>
      <c r="J12" s="26" t="s">
        <v>316</v>
      </c>
    </row>
    <row r="13" spans="1:10" ht="18" customHeight="1" x14ac:dyDescent="0.35">
      <c r="B13" s="23" t="s">
        <v>62</v>
      </c>
      <c r="C13" s="24" t="s">
        <v>63</v>
      </c>
      <c r="D13" s="173">
        <v>9.1370159361964784</v>
      </c>
      <c r="E13" s="173">
        <v>16.271814543326553</v>
      </c>
      <c r="F13" s="173">
        <v>15.763807592135457</v>
      </c>
      <c r="G13" s="173">
        <v>18.845455090099744</v>
      </c>
      <c r="H13" s="173">
        <v>18.721171068516067</v>
      </c>
      <c r="I13" s="27" t="s">
        <v>68</v>
      </c>
      <c r="J13" s="26" t="s">
        <v>65</v>
      </c>
    </row>
    <row r="14" spans="1:10" ht="18" customHeight="1" x14ac:dyDescent="0.35">
      <c r="B14" s="23" t="s">
        <v>318</v>
      </c>
      <c r="C14" s="24" t="s">
        <v>64</v>
      </c>
      <c r="D14" s="172">
        <v>4231.99</v>
      </c>
      <c r="E14" s="172">
        <v>5907.89</v>
      </c>
      <c r="F14" s="172">
        <v>5150.1000000000004</v>
      </c>
      <c r="G14" s="172">
        <v>5668.98</v>
      </c>
      <c r="H14" s="172">
        <v>6037.6</v>
      </c>
      <c r="I14" s="27" t="s">
        <v>69</v>
      </c>
      <c r="J14" s="26" t="s">
        <v>66</v>
      </c>
    </row>
    <row r="15" spans="1:10" ht="18" customHeight="1" x14ac:dyDescent="0.35">
      <c r="B15" s="23" t="s">
        <v>319</v>
      </c>
      <c r="C15" s="24" t="s">
        <v>64</v>
      </c>
      <c r="D15" s="172">
        <v>463.17</v>
      </c>
      <c r="E15" s="172">
        <v>363.07</v>
      </c>
      <c r="F15" s="172">
        <v>326.7</v>
      </c>
      <c r="G15" s="172">
        <v>300.81</v>
      </c>
      <c r="H15" s="172">
        <v>322.5</v>
      </c>
      <c r="I15" s="27" t="s">
        <v>69</v>
      </c>
      <c r="J15" s="26" t="s">
        <v>67</v>
      </c>
    </row>
    <row r="16" spans="1:10" ht="18" customHeight="1" x14ac:dyDescent="0.35">
      <c r="B16" s="20" t="s">
        <v>30</v>
      </c>
      <c r="C16" s="21"/>
      <c r="D16" s="21"/>
      <c r="E16" s="21"/>
      <c r="F16" s="21"/>
      <c r="G16" s="21"/>
      <c r="H16" s="21"/>
      <c r="I16" s="21"/>
      <c r="J16" s="22" t="s">
        <v>46</v>
      </c>
    </row>
    <row r="17" spans="2:13" ht="18" customHeight="1" x14ac:dyDescent="0.35">
      <c r="B17" s="23" t="s">
        <v>313</v>
      </c>
      <c r="C17" s="24" t="s">
        <v>25</v>
      </c>
      <c r="D17" s="172">
        <v>63833.898000000001</v>
      </c>
      <c r="E17" s="172">
        <v>77836.501000000004</v>
      </c>
      <c r="F17" s="172">
        <v>81920.361999999994</v>
      </c>
      <c r="G17" s="172">
        <v>86157.358999999997</v>
      </c>
      <c r="H17" s="172">
        <v>93323.513000000006</v>
      </c>
      <c r="I17" s="24" t="s">
        <v>25</v>
      </c>
      <c r="J17" s="26" t="s">
        <v>312</v>
      </c>
      <c r="K17" s="28"/>
      <c r="L17" s="28"/>
    </row>
    <row r="18" spans="2:13" ht="18" customHeight="1" x14ac:dyDescent="0.35">
      <c r="B18" s="23" t="s">
        <v>315</v>
      </c>
      <c r="C18" s="24" t="s">
        <v>23</v>
      </c>
      <c r="D18" s="172">
        <v>353331.20299999998</v>
      </c>
      <c r="E18" s="172">
        <v>369606.39299999998</v>
      </c>
      <c r="F18" s="172">
        <v>495341.18400000001</v>
      </c>
      <c r="G18" s="172">
        <v>538617.55299999996</v>
      </c>
      <c r="H18" s="172">
        <v>564068.46200000006</v>
      </c>
      <c r="I18" s="24" t="s">
        <v>25</v>
      </c>
      <c r="J18" s="26" t="s">
        <v>314</v>
      </c>
      <c r="K18" s="28"/>
      <c r="L18" s="28"/>
      <c r="M18" s="28"/>
    </row>
    <row r="19" spans="2:13" ht="18" customHeight="1" x14ac:dyDescent="0.35">
      <c r="B19" s="23" t="s">
        <v>317</v>
      </c>
      <c r="C19" s="24" t="s">
        <v>26</v>
      </c>
      <c r="D19" s="172">
        <v>102184.11302261001</v>
      </c>
      <c r="E19" s="172">
        <v>107259.21626458</v>
      </c>
      <c r="F19" s="172">
        <v>114406.73355030001</v>
      </c>
      <c r="G19" s="172">
        <v>115275.77602072</v>
      </c>
      <c r="H19" s="172">
        <v>127076.5406275</v>
      </c>
      <c r="I19" s="27" t="s">
        <v>27</v>
      </c>
      <c r="J19" s="26" t="s">
        <v>316</v>
      </c>
      <c r="K19" s="28"/>
      <c r="L19" s="28"/>
      <c r="M19" s="28"/>
    </row>
    <row r="20" spans="2:13" ht="18" customHeight="1" x14ac:dyDescent="0.35">
      <c r="B20" s="23" t="s">
        <v>62</v>
      </c>
      <c r="C20" s="24" t="s">
        <v>63</v>
      </c>
      <c r="D20" s="174">
        <v>5.5351657114952539</v>
      </c>
      <c r="E20" s="174">
        <v>4.7484970202308983</v>
      </c>
      <c r="F20" s="174">
        <v>6.0466185928231129</v>
      </c>
      <c r="G20" s="174">
        <v>6.2515559814223183</v>
      </c>
      <c r="H20" s="174">
        <v>6.0442266248592675</v>
      </c>
      <c r="I20" s="27" t="s">
        <v>68</v>
      </c>
      <c r="J20" s="26" t="s">
        <v>65</v>
      </c>
    </row>
    <row r="21" spans="2:13" ht="18" customHeight="1" x14ac:dyDescent="0.35">
      <c r="B21" s="23" t="s">
        <v>318</v>
      </c>
      <c r="C21" s="24" t="s">
        <v>64</v>
      </c>
      <c r="D21" s="172">
        <v>1600.78</v>
      </c>
      <c r="E21" s="172">
        <v>1378.01</v>
      </c>
      <c r="F21" s="172">
        <v>1396.56</v>
      </c>
      <c r="G21" s="172">
        <v>1337.97</v>
      </c>
      <c r="H21" s="172">
        <v>1361.68</v>
      </c>
      <c r="I21" s="27" t="s">
        <v>69</v>
      </c>
      <c r="J21" s="26" t="s">
        <v>66</v>
      </c>
    </row>
    <row r="22" spans="2:13" ht="18" customHeight="1" x14ac:dyDescent="0.35">
      <c r="B22" s="23" t="s">
        <v>319</v>
      </c>
      <c r="C22" s="24" t="s">
        <v>64</v>
      </c>
      <c r="D22" s="172">
        <v>289.2</v>
      </c>
      <c r="E22" s="172">
        <v>290.2</v>
      </c>
      <c r="F22" s="172">
        <v>230.97</v>
      </c>
      <c r="G22" s="172">
        <v>214.02</v>
      </c>
      <c r="H22" s="172">
        <v>225.29</v>
      </c>
      <c r="I22" s="27" t="s">
        <v>69</v>
      </c>
      <c r="J22" s="26" t="s">
        <v>67</v>
      </c>
    </row>
    <row r="23" spans="2:13" ht="18" customHeight="1" x14ac:dyDescent="0.35">
      <c r="B23" s="20" t="s">
        <v>31</v>
      </c>
      <c r="C23" s="21"/>
      <c r="D23" s="21"/>
      <c r="E23" s="21"/>
      <c r="F23" s="21"/>
      <c r="G23" s="21"/>
      <c r="H23" s="21"/>
      <c r="I23" s="21"/>
      <c r="J23" s="22" t="s">
        <v>47</v>
      </c>
    </row>
    <row r="24" spans="2:13" ht="18" customHeight="1" x14ac:dyDescent="0.35">
      <c r="B24" s="23" t="s">
        <v>313</v>
      </c>
      <c r="C24" s="24" t="s">
        <v>25</v>
      </c>
      <c r="D24" s="172">
        <v>67311.114000000001</v>
      </c>
      <c r="E24" s="172">
        <v>94474.361999999994</v>
      </c>
      <c r="F24" s="172">
        <v>109343.898</v>
      </c>
      <c r="G24" s="172">
        <v>115884.802</v>
      </c>
      <c r="H24" s="172">
        <v>122578.3</v>
      </c>
      <c r="I24" s="24" t="s">
        <v>25</v>
      </c>
      <c r="J24" s="26" t="s">
        <v>312</v>
      </c>
    </row>
    <row r="25" spans="2:13" ht="18" customHeight="1" x14ac:dyDescent="0.35">
      <c r="B25" s="23" t="s">
        <v>315</v>
      </c>
      <c r="C25" s="24" t="s">
        <v>23</v>
      </c>
      <c r="D25" s="172">
        <v>385102.58399999997</v>
      </c>
      <c r="E25" s="172">
        <v>640334.57499999995</v>
      </c>
      <c r="F25" s="172">
        <v>927640.52899999998</v>
      </c>
      <c r="G25" s="172">
        <v>1098844.7450000001</v>
      </c>
      <c r="H25" s="172">
        <v>1111752.334</v>
      </c>
      <c r="I25" s="24" t="s">
        <v>25</v>
      </c>
      <c r="J25" s="26" t="s">
        <v>314</v>
      </c>
    </row>
    <row r="26" spans="2:13" ht="18" customHeight="1" x14ac:dyDescent="0.35">
      <c r="B26" s="23" t="s">
        <v>317</v>
      </c>
      <c r="C26" s="24" t="s">
        <v>26</v>
      </c>
      <c r="D26" s="172">
        <v>116899.66041310001</v>
      </c>
      <c r="E26" s="172">
        <v>205553.80147971999</v>
      </c>
      <c r="F26" s="172">
        <v>255640.71236839003</v>
      </c>
      <c r="G26" s="172">
        <v>283799.95036704</v>
      </c>
      <c r="H26" s="172">
        <v>303705.23336094001</v>
      </c>
      <c r="I26" s="27" t="s">
        <v>27</v>
      </c>
      <c r="J26" s="26" t="s">
        <v>316</v>
      </c>
    </row>
    <row r="27" spans="2:13" ht="18" customHeight="1" x14ac:dyDescent="0.35">
      <c r="B27" s="23" t="s">
        <v>62</v>
      </c>
      <c r="C27" s="24" t="s">
        <v>63</v>
      </c>
      <c r="D27" s="173">
        <v>5.7212332348290245</v>
      </c>
      <c r="E27" s="173">
        <v>6.7778661230776356</v>
      </c>
      <c r="F27" s="173">
        <v>8.4836972704228995</v>
      </c>
      <c r="G27" s="173">
        <v>9.4822161839651766</v>
      </c>
      <c r="H27" s="173">
        <v>9.0697320325049375</v>
      </c>
      <c r="I27" s="27" t="s">
        <v>68</v>
      </c>
      <c r="J27" s="26" t="s">
        <v>65</v>
      </c>
    </row>
    <row r="28" spans="2:13" ht="18" customHeight="1" x14ac:dyDescent="0.35">
      <c r="B28" s="23" t="s">
        <v>318</v>
      </c>
      <c r="C28" s="24" t="s">
        <v>64</v>
      </c>
      <c r="D28" s="172">
        <v>1736.71</v>
      </c>
      <c r="E28" s="172">
        <v>2175.7600000000002</v>
      </c>
      <c r="F28" s="172">
        <v>2337.9499999999998</v>
      </c>
      <c r="G28" s="172">
        <v>2448.98</v>
      </c>
      <c r="H28" s="172">
        <v>2477.64</v>
      </c>
      <c r="I28" s="27" t="s">
        <v>69</v>
      </c>
      <c r="J28" s="26" t="s">
        <v>66</v>
      </c>
    </row>
    <row r="29" spans="2:13" ht="18" customHeight="1" x14ac:dyDescent="0.35">
      <c r="B29" s="23" t="s">
        <v>319</v>
      </c>
      <c r="C29" s="24" t="s">
        <v>64</v>
      </c>
      <c r="D29" s="172">
        <v>303.55</v>
      </c>
      <c r="E29" s="172">
        <v>321.01</v>
      </c>
      <c r="F29" s="172">
        <v>275.58</v>
      </c>
      <c r="G29" s="172">
        <v>258.27</v>
      </c>
      <c r="H29" s="172">
        <v>273.18</v>
      </c>
      <c r="I29" s="27" t="s">
        <v>69</v>
      </c>
      <c r="J29" s="26" t="s">
        <v>67</v>
      </c>
    </row>
    <row r="30" spans="2:13" x14ac:dyDescent="0.35">
      <c r="E30" s="175"/>
      <c r="F30" s="175"/>
      <c r="G30" s="175"/>
      <c r="H30" s="175"/>
    </row>
    <row r="31" spans="2:13" x14ac:dyDescent="0.35">
      <c r="E31" s="175"/>
      <c r="F31" s="175"/>
      <c r="G31" s="175"/>
      <c r="H31" s="175"/>
    </row>
    <row r="32" spans="2:13" x14ac:dyDescent="0.35">
      <c r="E32" s="175"/>
      <c r="F32" s="175"/>
      <c r="G32" s="175"/>
      <c r="H32" s="175"/>
    </row>
  </sheetData>
  <mergeCells count="3">
    <mergeCell ref="A6:B6"/>
    <mergeCell ref="A2:E2"/>
    <mergeCell ref="A3:E3"/>
  </mergeCells>
  <pageMargins left="0.7" right="0.7" top="0.75" bottom="0.75" header="0.3" footer="0.3"/>
  <pageSetup orientation="portrait" r:id="rId1"/>
  <headerFooter>
    <oddFooter>&amp;C&amp;1#&amp;"Calibri"&amp;11&amp;Kffa500CONFIDENTIAL▮▮مقيّد</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M324"/>
  <sheetViews>
    <sheetView showGridLines="0" zoomScale="80" zoomScaleNormal="80" workbookViewId="0"/>
  </sheetViews>
  <sheetFormatPr defaultColWidth="8.81640625" defaultRowHeight="14.5" x14ac:dyDescent="0.35"/>
  <cols>
    <col min="2" max="2" width="38.54296875" style="16" bestFit="1" customWidth="1"/>
    <col min="3" max="3" width="9.54296875" style="4" customWidth="1"/>
    <col min="4" max="8" width="12.54296875" style="59" customWidth="1"/>
    <col min="9" max="9" width="9.54296875" style="4" customWidth="1"/>
    <col min="10" max="10" width="30.54296875" style="29" customWidth="1"/>
    <col min="11" max="11" width="11.54296875" bestFit="1" customWidth="1"/>
    <col min="12" max="12" width="15.54296875" bestFit="1" customWidth="1"/>
    <col min="13" max="13" width="10.81640625" bestFit="1" customWidth="1"/>
  </cols>
  <sheetData>
    <row r="1" spans="1:10" x14ac:dyDescent="0.35">
      <c r="A1" s="9" t="s">
        <v>524</v>
      </c>
      <c r="B1"/>
      <c r="C1"/>
      <c r="D1" s="108"/>
      <c r="E1" s="108"/>
      <c r="F1" s="108"/>
      <c r="G1" s="108"/>
      <c r="H1" s="108"/>
    </row>
    <row r="2" spans="1:10" x14ac:dyDescent="0.35">
      <c r="A2" s="232" t="s">
        <v>448</v>
      </c>
      <c r="B2" s="232"/>
      <c r="C2" s="232"/>
      <c r="D2" s="232"/>
      <c r="E2" s="232"/>
      <c r="F2" s="192"/>
      <c r="G2" s="192"/>
      <c r="H2" s="192"/>
    </row>
    <row r="3" spans="1:10" x14ac:dyDescent="0.35">
      <c r="A3" s="232" t="s">
        <v>449</v>
      </c>
      <c r="B3" s="232"/>
      <c r="C3" s="232"/>
      <c r="D3" s="232"/>
      <c r="E3" s="232"/>
      <c r="F3" s="192"/>
      <c r="G3" s="192"/>
      <c r="H3" s="192"/>
    </row>
    <row r="5" spans="1:10" s="32" customFormat="1" ht="18" customHeight="1" x14ac:dyDescent="0.35">
      <c r="A5" s="10" t="s">
        <v>6</v>
      </c>
      <c r="B5" s="30" t="s">
        <v>7</v>
      </c>
      <c r="C5" s="12"/>
      <c r="D5" s="11"/>
      <c r="E5" s="11"/>
      <c r="F5" s="11"/>
      <c r="G5" s="11"/>
      <c r="H5" s="11"/>
      <c r="I5" s="12"/>
      <c r="J5" s="31" t="s">
        <v>126</v>
      </c>
    </row>
    <row r="6" spans="1:10" ht="14.25" customHeight="1" x14ac:dyDescent="0.35">
      <c r="A6" s="231"/>
      <c r="B6" s="231"/>
      <c r="J6" s="17"/>
    </row>
    <row r="8" spans="1:10" ht="18" customHeight="1" x14ac:dyDescent="0.35">
      <c r="C8" s="33" t="s">
        <v>24</v>
      </c>
      <c r="D8" s="34">
        <v>2021</v>
      </c>
      <c r="E8" s="34">
        <v>2022</v>
      </c>
      <c r="F8" s="34">
        <v>2023</v>
      </c>
      <c r="G8" s="34">
        <v>2024</v>
      </c>
      <c r="H8" s="34">
        <v>2025</v>
      </c>
      <c r="I8" s="34" t="s">
        <v>20</v>
      </c>
    </row>
    <row r="9" spans="1:10" ht="18" customHeight="1" x14ac:dyDescent="0.35">
      <c r="B9" s="35" t="s">
        <v>33</v>
      </c>
      <c r="C9" s="21"/>
      <c r="D9" s="21"/>
      <c r="E9" s="21"/>
      <c r="F9" s="21"/>
      <c r="G9" s="21"/>
      <c r="H9" s="21"/>
      <c r="I9" s="21"/>
      <c r="J9" s="36" t="s">
        <v>50</v>
      </c>
    </row>
    <row r="10" spans="1:10" ht="18" customHeight="1" x14ac:dyDescent="0.35">
      <c r="B10" s="37" t="s">
        <v>29</v>
      </c>
      <c r="C10" s="38"/>
      <c r="D10" s="38"/>
      <c r="E10" s="38"/>
      <c r="F10" s="38"/>
      <c r="G10" s="38"/>
      <c r="H10" s="38"/>
      <c r="I10" s="38"/>
      <c r="J10" s="39" t="s">
        <v>45</v>
      </c>
    </row>
    <row r="11" spans="1:10" ht="18" customHeight="1" x14ac:dyDescent="0.35">
      <c r="B11" s="40" t="s">
        <v>313</v>
      </c>
      <c r="C11" s="41" t="s">
        <v>25</v>
      </c>
      <c r="D11" s="176">
        <v>0.69399999999999995</v>
      </c>
      <c r="E11" s="176">
        <v>4.1669999999999998</v>
      </c>
      <c r="F11" s="176">
        <v>16.257000000000001</v>
      </c>
      <c r="G11" s="176">
        <v>8.1110000000000007</v>
      </c>
      <c r="H11" s="176">
        <v>5.8239999999999998</v>
      </c>
      <c r="I11" s="41" t="s">
        <v>25</v>
      </c>
      <c r="J11" s="42" t="s">
        <v>312</v>
      </c>
    </row>
    <row r="12" spans="1:10" ht="18" customHeight="1" x14ac:dyDescent="0.35">
      <c r="B12" s="44" t="s">
        <v>315</v>
      </c>
      <c r="C12" s="45" t="s">
        <v>23</v>
      </c>
      <c r="D12" s="172">
        <v>5.3239999999999998</v>
      </c>
      <c r="E12" s="172">
        <v>41.1</v>
      </c>
      <c r="F12" s="172">
        <v>110.30200000000001</v>
      </c>
      <c r="G12" s="172">
        <v>54.085000000000001</v>
      </c>
      <c r="H12" s="172">
        <v>349.81900000000002</v>
      </c>
      <c r="I12" s="45" t="s">
        <v>25</v>
      </c>
      <c r="J12" s="46" t="s">
        <v>314</v>
      </c>
    </row>
    <row r="13" spans="1:10" ht="18" customHeight="1" x14ac:dyDescent="0.35">
      <c r="B13" s="40" t="s">
        <v>317</v>
      </c>
      <c r="C13" s="41" t="s">
        <v>26</v>
      </c>
      <c r="D13" s="176">
        <v>3.0639899800000001</v>
      </c>
      <c r="E13" s="176">
        <v>8.8876295899999995</v>
      </c>
      <c r="F13" s="176">
        <v>43.307210820000002</v>
      </c>
      <c r="G13" s="176">
        <v>22.17663435</v>
      </c>
      <c r="H13" s="176">
        <v>36.801403219999997</v>
      </c>
      <c r="I13" s="50" t="s">
        <v>27</v>
      </c>
      <c r="J13" s="42" t="s">
        <v>316</v>
      </c>
    </row>
    <row r="14" spans="1:10" ht="18" customHeight="1" x14ac:dyDescent="0.35">
      <c r="B14" s="23" t="s">
        <v>62</v>
      </c>
      <c r="C14" s="24" t="s">
        <v>63</v>
      </c>
      <c r="D14" s="173">
        <v>7.6736358352771887</v>
      </c>
      <c r="E14" s="173">
        <v>9.8629339522197803</v>
      </c>
      <c r="F14" s="173">
        <v>6.7848926616226857</v>
      </c>
      <c r="G14" s="173">
        <v>6.6681050425348296</v>
      </c>
      <c r="H14" s="173">
        <v>60.065075549450547</v>
      </c>
      <c r="I14" s="27" t="s">
        <v>68</v>
      </c>
      <c r="J14" s="48" t="s">
        <v>65</v>
      </c>
    </row>
    <row r="15" spans="1:10" ht="18" customHeight="1" x14ac:dyDescent="0.35">
      <c r="B15" s="40" t="s">
        <v>320</v>
      </c>
      <c r="C15" s="41" t="s">
        <v>64</v>
      </c>
      <c r="D15" s="176">
        <v>4416.18</v>
      </c>
      <c r="E15" s="176">
        <v>2132.8000000000002</v>
      </c>
      <c r="F15" s="176">
        <v>2663.91</v>
      </c>
      <c r="G15" s="176">
        <v>2734.14</v>
      </c>
      <c r="H15" s="176">
        <v>6318.92</v>
      </c>
      <c r="I15" s="50" t="s">
        <v>69</v>
      </c>
      <c r="J15" s="42" t="s">
        <v>66</v>
      </c>
    </row>
    <row r="16" spans="1:10" ht="18" customHeight="1" x14ac:dyDescent="0.35">
      <c r="B16" s="23" t="s">
        <v>319</v>
      </c>
      <c r="C16" s="24" t="s">
        <v>64</v>
      </c>
      <c r="D16" s="172">
        <v>575.5</v>
      </c>
      <c r="E16" s="172">
        <v>216.24</v>
      </c>
      <c r="F16" s="172">
        <v>392.62</v>
      </c>
      <c r="G16" s="172">
        <v>410.03</v>
      </c>
      <c r="H16" s="172">
        <v>105.2</v>
      </c>
      <c r="I16" s="27" t="s">
        <v>69</v>
      </c>
      <c r="J16" s="48" t="s">
        <v>67</v>
      </c>
    </row>
    <row r="17" spans="2:10" ht="18" customHeight="1" x14ac:dyDescent="0.35">
      <c r="B17" s="37" t="s">
        <v>30</v>
      </c>
      <c r="C17" s="38"/>
      <c r="D17" s="51"/>
      <c r="E17" s="51"/>
      <c r="F17" s="51"/>
      <c r="G17" s="51"/>
      <c r="H17" s="51"/>
      <c r="I17" s="38"/>
      <c r="J17" s="39" t="s">
        <v>46</v>
      </c>
    </row>
    <row r="18" spans="2:10" ht="18" customHeight="1" x14ac:dyDescent="0.35">
      <c r="B18" s="40" t="s">
        <v>313</v>
      </c>
      <c r="C18" s="41" t="s">
        <v>25</v>
      </c>
      <c r="D18" s="176">
        <v>1100.2650000000001</v>
      </c>
      <c r="E18" s="176">
        <v>1021.043</v>
      </c>
      <c r="F18" s="176">
        <v>1070.829</v>
      </c>
      <c r="G18" s="176">
        <v>1126.723</v>
      </c>
      <c r="H18" s="176">
        <v>1132.8219999999999</v>
      </c>
      <c r="I18" s="41" t="s">
        <v>25</v>
      </c>
      <c r="J18" s="42" t="s">
        <v>312</v>
      </c>
    </row>
    <row r="19" spans="2:10" ht="18" customHeight="1" x14ac:dyDescent="0.35">
      <c r="B19" s="44" t="s">
        <v>315</v>
      </c>
      <c r="C19" s="45" t="s">
        <v>23</v>
      </c>
      <c r="D19" s="172">
        <v>8743.0949999999993</v>
      </c>
      <c r="E19" s="172">
        <v>6622.8329999999996</v>
      </c>
      <c r="F19" s="172">
        <v>7633.1809999999996</v>
      </c>
      <c r="G19" s="172">
        <v>10345.966</v>
      </c>
      <c r="H19" s="172">
        <v>9195.9580000000005</v>
      </c>
      <c r="I19" s="45" t="s">
        <v>25</v>
      </c>
      <c r="J19" s="46" t="s">
        <v>314</v>
      </c>
    </row>
    <row r="20" spans="2:10" ht="18" customHeight="1" x14ac:dyDescent="0.35">
      <c r="B20" s="40" t="s">
        <v>317</v>
      </c>
      <c r="C20" s="41" t="s">
        <v>26</v>
      </c>
      <c r="D20" s="176">
        <v>1411.1798247699999</v>
      </c>
      <c r="E20" s="176">
        <v>1000.44905972</v>
      </c>
      <c r="F20" s="176">
        <v>1237.2450740699999</v>
      </c>
      <c r="G20" s="176">
        <v>1122.9649183900001</v>
      </c>
      <c r="H20" s="176">
        <v>917.32746429999997</v>
      </c>
      <c r="I20" s="50" t="s">
        <v>27</v>
      </c>
      <c r="J20" s="42" t="s">
        <v>316</v>
      </c>
    </row>
    <row r="21" spans="2:10" ht="18" customHeight="1" x14ac:dyDescent="0.35">
      <c r="B21" s="23" t="s">
        <v>62</v>
      </c>
      <c r="C21" s="24" t="s">
        <v>63</v>
      </c>
      <c r="D21" s="177">
        <v>7.946353745952762</v>
      </c>
      <c r="E21" s="177">
        <v>6.4863407296511912</v>
      </c>
      <c r="F21" s="177">
        <v>7.1282912584548983</v>
      </c>
      <c r="G21" s="177">
        <v>9.1823509416245166</v>
      </c>
      <c r="H21" s="177">
        <v>8.1177431229266386</v>
      </c>
      <c r="I21" s="27" t="s">
        <v>68</v>
      </c>
      <c r="J21" s="48" t="s">
        <v>65</v>
      </c>
    </row>
    <row r="22" spans="2:10" ht="18" customHeight="1" x14ac:dyDescent="0.35">
      <c r="B22" s="40" t="s">
        <v>320</v>
      </c>
      <c r="C22" s="41" t="s">
        <v>64</v>
      </c>
      <c r="D22" s="176">
        <v>1282.58</v>
      </c>
      <c r="E22" s="176">
        <v>979.83</v>
      </c>
      <c r="F22" s="176">
        <v>1155.4100000000001</v>
      </c>
      <c r="G22" s="176">
        <v>996.66</v>
      </c>
      <c r="H22" s="176">
        <v>809.77</v>
      </c>
      <c r="I22" s="50" t="s">
        <v>69</v>
      </c>
      <c r="J22" s="42" t="s">
        <v>66</v>
      </c>
    </row>
    <row r="23" spans="2:10" ht="18" customHeight="1" x14ac:dyDescent="0.35">
      <c r="B23" s="23" t="s">
        <v>319</v>
      </c>
      <c r="C23" s="24" t="s">
        <v>64</v>
      </c>
      <c r="D23" s="172">
        <v>161.41</v>
      </c>
      <c r="E23" s="172">
        <v>151.06</v>
      </c>
      <c r="F23" s="172">
        <v>162.09</v>
      </c>
      <c r="G23" s="172">
        <v>108.54</v>
      </c>
      <c r="H23" s="172">
        <v>99.75</v>
      </c>
      <c r="I23" s="27" t="s">
        <v>69</v>
      </c>
      <c r="J23" s="48" t="s">
        <v>67</v>
      </c>
    </row>
    <row r="24" spans="2:10" ht="18" customHeight="1" x14ac:dyDescent="0.35">
      <c r="B24" s="37" t="s">
        <v>31</v>
      </c>
      <c r="C24" s="38"/>
      <c r="D24" s="51"/>
      <c r="E24" s="51"/>
      <c r="F24" s="51"/>
      <c r="G24" s="51"/>
      <c r="H24" s="51"/>
      <c r="I24" s="38"/>
      <c r="J24" s="39" t="s">
        <v>47</v>
      </c>
    </row>
    <row r="25" spans="2:10" ht="18" customHeight="1" x14ac:dyDescent="0.35">
      <c r="B25" s="40" t="s">
        <v>313</v>
      </c>
      <c r="C25" s="41" t="s">
        <v>25</v>
      </c>
      <c r="D25" s="176">
        <v>1100.9590000000001</v>
      </c>
      <c r="E25" s="176">
        <v>1025.21</v>
      </c>
      <c r="F25" s="176">
        <v>1087.086</v>
      </c>
      <c r="G25" s="176">
        <v>1134.8340000000001</v>
      </c>
      <c r="H25" s="176">
        <v>1138.646</v>
      </c>
      <c r="I25" s="41" t="s">
        <v>25</v>
      </c>
      <c r="J25" s="42" t="s">
        <v>312</v>
      </c>
    </row>
    <row r="26" spans="2:10" ht="18" customHeight="1" x14ac:dyDescent="0.35">
      <c r="B26" s="44" t="s">
        <v>315</v>
      </c>
      <c r="C26" s="45" t="s">
        <v>23</v>
      </c>
      <c r="D26" s="172">
        <v>8748.4189999999999</v>
      </c>
      <c r="E26" s="172">
        <v>6663.933</v>
      </c>
      <c r="F26" s="172">
        <v>7743.4830000000002</v>
      </c>
      <c r="G26" s="172">
        <v>10400.050999999999</v>
      </c>
      <c r="H26" s="172">
        <v>9545.777</v>
      </c>
      <c r="I26" s="45" t="s">
        <v>25</v>
      </c>
      <c r="J26" s="46" t="s">
        <v>314</v>
      </c>
    </row>
    <row r="27" spans="2:10" ht="18" customHeight="1" x14ac:dyDescent="0.35">
      <c r="B27" s="40" t="s">
        <v>317</v>
      </c>
      <c r="C27" s="41" t="s">
        <v>26</v>
      </c>
      <c r="D27" s="176">
        <v>1414.24381475</v>
      </c>
      <c r="E27" s="176">
        <v>1009.33668931</v>
      </c>
      <c r="F27" s="176">
        <v>1280.55228489</v>
      </c>
      <c r="G27" s="176">
        <v>1145.14155274</v>
      </c>
      <c r="H27" s="176">
        <v>954.12886751999997</v>
      </c>
      <c r="I27" s="50" t="s">
        <v>27</v>
      </c>
      <c r="J27" s="42" t="s">
        <v>316</v>
      </c>
    </row>
    <row r="28" spans="2:10" ht="18" customHeight="1" x14ac:dyDescent="0.35">
      <c r="B28" s="23" t="s">
        <v>62</v>
      </c>
      <c r="C28" s="24" t="s">
        <v>63</v>
      </c>
      <c r="D28" s="174">
        <v>7.9461818824971049</v>
      </c>
      <c r="E28" s="174">
        <v>6.5000653710443217</v>
      </c>
      <c r="F28" s="174">
        <v>7.1231558496751868</v>
      </c>
      <c r="G28" s="174">
        <v>9.1643808698012226</v>
      </c>
      <c r="H28" s="174">
        <v>8.3834457768261608</v>
      </c>
      <c r="I28" s="27" t="s">
        <v>68</v>
      </c>
      <c r="J28" s="48" t="s">
        <v>65</v>
      </c>
    </row>
    <row r="29" spans="2:10" ht="18" customHeight="1" x14ac:dyDescent="0.35">
      <c r="B29" s="40" t="s">
        <v>320</v>
      </c>
      <c r="C29" s="41" t="s">
        <v>64</v>
      </c>
      <c r="D29" s="176">
        <v>1284.56</v>
      </c>
      <c r="E29" s="176">
        <v>984.52</v>
      </c>
      <c r="F29" s="176">
        <v>1177.97</v>
      </c>
      <c r="G29" s="176">
        <v>1009.08</v>
      </c>
      <c r="H29" s="176">
        <v>837.95</v>
      </c>
      <c r="I29" s="50" t="s">
        <v>69</v>
      </c>
      <c r="J29" s="42" t="s">
        <v>66</v>
      </c>
    </row>
    <row r="30" spans="2:10" ht="18" customHeight="1" x14ac:dyDescent="0.35">
      <c r="B30" s="23" t="s">
        <v>319</v>
      </c>
      <c r="C30" s="24" t="s">
        <v>64</v>
      </c>
      <c r="D30" s="172">
        <v>161.66</v>
      </c>
      <c r="E30" s="172">
        <v>151.46</v>
      </c>
      <c r="F30" s="172">
        <v>165.37</v>
      </c>
      <c r="G30" s="172">
        <v>110.11</v>
      </c>
      <c r="H30" s="172">
        <v>99.95</v>
      </c>
      <c r="I30" s="27" t="s">
        <v>69</v>
      </c>
      <c r="J30" s="48" t="s">
        <v>67</v>
      </c>
    </row>
    <row r="31" spans="2:10" ht="18" customHeight="1" x14ac:dyDescent="0.35">
      <c r="B31" s="35" t="s">
        <v>42</v>
      </c>
      <c r="C31" s="21"/>
      <c r="D31" s="21"/>
      <c r="E31" s="21"/>
      <c r="F31" s="21"/>
      <c r="G31" s="21"/>
      <c r="H31" s="21"/>
      <c r="I31" s="21"/>
      <c r="J31" s="36" t="s">
        <v>59</v>
      </c>
    </row>
    <row r="32" spans="2:10" ht="18" customHeight="1" x14ac:dyDescent="0.35">
      <c r="B32" s="37" t="s">
        <v>29</v>
      </c>
      <c r="C32" s="38"/>
      <c r="D32" s="38"/>
      <c r="E32" s="38"/>
      <c r="F32" s="38"/>
      <c r="G32" s="38"/>
      <c r="H32" s="38"/>
      <c r="I32" s="38"/>
      <c r="J32" s="39" t="s">
        <v>45</v>
      </c>
    </row>
    <row r="33" spans="2:13" ht="18" customHeight="1" x14ac:dyDescent="0.35">
      <c r="B33" s="40" t="s">
        <v>313</v>
      </c>
      <c r="C33" s="41" t="s">
        <v>25</v>
      </c>
      <c r="D33" s="176">
        <v>56.088999999999999</v>
      </c>
      <c r="E33" s="176">
        <v>201.893</v>
      </c>
      <c r="F33" s="176">
        <v>126.253</v>
      </c>
      <c r="G33" s="176">
        <v>317.38</v>
      </c>
      <c r="H33" s="176">
        <v>283.214</v>
      </c>
      <c r="I33" s="41" t="s">
        <v>25</v>
      </c>
      <c r="J33" s="42" t="s">
        <v>312</v>
      </c>
      <c r="K33" s="43"/>
      <c r="L33" s="6"/>
    </row>
    <row r="34" spans="2:13" ht="18" customHeight="1" x14ac:dyDescent="0.35">
      <c r="B34" s="44" t="s">
        <v>315</v>
      </c>
      <c r="C34" s="45" t="s">
        <v>23</v>
      </c>
      <c r="D34" s="172">
        <v>405.06</v>
      </c>
      <c r="E34" s="172">
        <v>1899.1030000000001</v>
      </c>
      <c r="F34" s="172">
        <v>813.96400000000006</v>
      </c>
      <c r="G34" s="172">
        <v>18847.708999999999</v>
      </c>
      <c r="H34" s="172">
        <v>17272.986000000001</v>
      </c>
      <c r="I34" s="45" t="s">
        <v>25</v>
      </c>
      <c r="J34" s="46" t="s">
        <v>314</v>
      </c>
      <c r="K34" s="43"/>
      <c r="L34" s="6"/>
    </row>
    <row r="35" spans="2:13" ht="18" customHeight="1" x14ac:dyDescent="0.35">
      <c r="B35" s="40" t="s">
        <v>317</v>
      </c>
      <c r="C35" s="41" t="s">
        <v>26</v>
      </c>
      <c r="D35" s="176">
        <v>238.56153397999998</v>
      </c>
      <c r="E35" s="176">
        <v>636.47360190999996</v>
      </c>
      <c r="F35" s="176">
        <v>288.31299348000005</v>
      </c>
      <c r="G35" s="176">
        <v>1765.41876944</v>
      </c>
      <c r="H35" s="176">
        <v>1434.1705388099999</v>
      </c>
      <c r="I35" s="50" t="s">
        <v>27</v>
      </c>
      <c r="J35" s="42" t="s">
        <v>316</v>
      </c>
      <c r="K35" s="43"/>
      <c r="L35" s="7"/>
    </row>
    <row r="36" spans="2:13" ht="18" customHeight="1" x14ac:dyDescent="0.35">
      <c r="B36" s="23" t="s">
        <v>62</v>
      </c>
      <c r="C36" s="24" t="s">
        <v>63</v>
      </c>
      <c r="D36" s="173">
        <v>7.2217775527328874</v>
      </c>
      <c r="E36" s="173">
        <v>9.4064848831209495</v>
      </c>
      <c r="F36" s="173">
        <v>6.4470864058675836</v>
      </c>
      <c r="G36" s="173">
        <v>59.385307832881722</v>
      </c>
      <c r="H36" s="173">
        <v>60.98916720218633</v>
      </c>
      <c r="I36" s="27" t="s">
        <v>68</v>
      </c>
      <c r="J36" s="48" t="s">
        <v>65</v>
      </c>
      <c r="K36" s="49"/>
      <c r="L36" s="8"/>
    </row>
    <row r="37" spans="2:13" ht="18" customHeight="1" x14ac:dyDescent="0.35">
      <c r="B37" s="40" t="s">
        <v>320</v>
      </c>
      <c r="C37" s="41" t="s">
        <v>64</v>
      </c>
      <c r="D37" s="176">
        <v>4253.29</v>
      </c>
      <c r="E37" s="176">
        <v>3152.53</v>
      </c>
      <c r="F37" s="176">
        <v>2283.61</v>
      </c>
      <c r="G37" s="176">
        <v>5562.48</v>
      </c>
      <c r="H37" s="176">
        <v>5063.91</v>
      </c>
      <c r="I37" s="50" t="s">
        <v>69</v>
      </c>
      <c r="J37" s="42" t="s">
        <v>66</v>
      </c>
      <c r="K37" s="43"/>
      <c r="L37" s="7"/>
    </row>
    <row r="38" spans="2:13" ht="18" customHeight="1" x14ac:dyDescent="0.35">
      <c r="B38" s="23" t="s">
        <v>319</v>
      </c>
      <c r="C38" s="24" t="s">
        <v>64</v>
      </c>
      <c r="D38" s="172">
        <v>588.95000000000005</v>
      </c>
      <c r="E38" s="172">
        <v>335.14</v>
      </c>
      <c r="F38" s="172">
        <v>354.21</v>
      </c>
      <c r="G38" s="172">
        <v>93.67</v>
      </c>
      <c r="H38" s="172">
        <v>83.03</v>
      </c>
      <c r="I38" s="27" t="s">
        <v>69</v>
      </c>
      <c r="J38" s="48" t="s">
        <v>67</v>
      </c>
      <c r="K38" s="43"/>
      <c r="L38" s="7"/>
    </row>
    <row r="39" spans="2:13" ht="18" customHeight="1" x14ac:dyDescent="0.35">
      <c r="B39" s="37" t="s">
        <v>30</v>
      </c>
      <c r="C39" s="38"/>
      <c r="D39" s="51"/>
      <c r="E39" s="51"/>
      <c r="F39" s="51"/>
      <c r="G39" s="51"/>
      <c r="H39" s="51"/>
      <c r="I39" s="38"/>
      <c r="J39" s="39" t="s">
        <v>46</v>
      </c>
    </row>
    <row r="40" spans="2:13" ht="18" customHeight="1" x14ac:dyDescent="0.35">
      <c r="B40" s="40" t="s">
        <v>313</v>
      </c>
      <c r="C40" s="41" t="s">
        <v>25</v>
      </c>
      <c r="D40" s="176">
        <v>3767.875</v>
      </c>
      <c r="E40" s="176">
        <v>4054.0650000000001</v>
      </c>
      <c r="F40" s="176">
        <v>4564.5320000000002</v>
      </c>
      <c r="G40" s="176">
        <v>4872.4449999999997</v>
      </c>
      <c r="H40" s="176">
        <v>3281.654</v>
      </c>
      <c r="I40" s="41" t="s">
        <v>25</v>
      </c>
      <c r="J40" s="42" t="s">
        <v>312</v>
      </c>
      <c r="K40" s="28"/>
      <c r="L40" s="28"/>
      <c r="M40" s="52"/>
    </row>
    <row r="41" spans="2:13" ht="18" customHeight="1" x14ac:dyDescent="0.35">
      <c r="B41" s="44" t="s">
        <v>315</v>
      </c>
      <c r="C41" s="45" t="s">
        <v>23</v>
      </c>
      <c r="D41" s="172">
        <v>22722.401999999998</v>
      </c>
      <c r="E41" s="172">
        <v>19497.723000000002</v>
      </c>
      <c r="F41" s="172">
        <v>27272.207999999999</v>
      </c>
      <c r="G41" s="172">
        <v>31343.238000000001</v>
      </c>
      <c r="H41" s="172">
        <v>18310.631000000001</v>
      </c>
      <c r="I41" s="45" t="s">
        <v>25</v>
      </c>
      <c r="J41" s="46" t="s">
        <v>314</v>
      </c>
      <c r="K41" s="28"/>
      <c r="L41" s="28"/>
      <c r="M41" s="52"/>
    </row>
    <row r="42" spans="2:13" ht="18" customHeight="1" x14ac:dyDescent="0.35">
      <c r="B42" s="40" t="s">
        <v>317</v>
      </c>
      <c r="C42" s="41" t="s">
        <v>26</v>
      </c>
      <c r="D42" s="176">
        <v>3877.24122364</v>
      </c>
      <c r="E42" s="176">
        <v>4478.6584908000004</v>
      </c>
      <c r="F42" s="176">
        <v>5654.1130730600007</v>
      </c>
      <c r="G42" s="176">
        <v>5689.9445564999996</v>
      </c>
      <c r="H42" s="176">
        <v>3066.1500383899997</v>
      </c>
      <c r="I42" s="50" t="s">
        <v>27</v>
      </c>
      <c r="J42" s="42" t="s">
        <v>316</v>
      </c>
      <c r="K42" s="28"/>
      <c r="L42" s="28"/>
      <c r="M42" s="52"/>
    </row>
    <row r="43" spans="2:13" ht="18" customHeight="1" x14ac:dyDescent="0.35">
      <c r="B43" s="23" t="s">
        <v>62</v>
      </c>
      <c r="C43" s="24" t="s">
        <v>63</v>
      </c>
      <c r="D43" s="173">
        <v>6.0305615832170663</v>
      </c>
      <c r="E43" s="173">
        <v>4.8094254078553513</v>
      </c>
      <c r="F43" s="173">
        <v>5.9748092465996514</v>
      </c>
      <c r="G43" s="173">
        <v>6.4327535764898318</v>
      </c>
      <c r="H43" s="173">
        <v>5.5796957875510333</v>
      </c>
      <c r="I43" s="27" t="s">
        <v>68</v>
      </c>
      <c r="J43" s="48" t="s">
        <v>65</v>
      </c>
      <c r="K43" s="49"/>
      <c r="L43" s="49"/>
    </row>
    <row r="44" spans="2:13" ht="18" customHeight="1" x14ac:dyDescent="0.35">
      <c r="B44" s="40" t="s">
        <v>320</v>
      </c>
      <c r="C44" s="41" t="s">
        <v>64</v>
      </c>
      <c r="D44" s="176">
        <v>1029.03</v>
      </c>
      <c r="E44" s="176">
        <v>1104.73</v>
      </c>
      <c r="F44" s="176">
        <v>1238.71</v>
      </c>
      <c r="G44" s="176">
        <v>1167.78</v>
      </c>
      <c r="H44" s="176">
        <v>934.33</v>
      </c>
      <c r="I44" s="50" t="s">
        <v>69</v>
      </c>
      <c r="J44" s="42" t="s">
        <v>66</v>
      </c>
      <c r="K44" s="28"/>
      <c r="L44" s="28"/>
    </row>
    <row r="45" spans="2:13" ht="18" customHeight="1" x14ac:dyDescent="0.35">
      <c r="B45" s="23" t="s">
        <v>319</v>
      </c>
      <c r="C45" s="24" t="s">
        <v>64</v>
      </c>
      <c r="D45" s="172">
        <v>170.64</v>
      </c>
      <c r="E45" s="172">
        <v>229.7</v>
      </c>
      <c r="F45" s="172">
        <v>207.32</v>
      </c>
      <c r="G45" s="172">
        <v>181.54</v>
      </c>
      <c r="H45" s="172">
        <v>167.45</v>
      </c>
      <c r="I45" s="27" t="s">
        <v>69</v>
      </c>
      <c r="J45" s="48" t="s">
        <v>67</v>
      </c>
      <c r="K45" s="28"/>
      <c r="L45" s="28"/>
    </row>
    <row r="46" spans="2:13" ht="18" customHeight="1" x14ac:dyDescent="0.35">
      <c r="B46" s="37" t="s">
        <v>31</v>
      </c>
      <c r="C46" s="38"/>
      <c r="D46" s="51"/>
      <c r="E46" s="51"/>
      <c r="F46" s="51"/>
      <c r="G46" s="51"/>
      <c r="H46" s="51"/>
      <c r="I46" s="38"/>
      <c r="J46" s="39" t="s">
        <v>47</v>
      </c>
    </row>
    <row r="47" spans="2:13" ht="18" customHeight="1" x14ac:dyDescent="0.35">
      <c r="B47" s="40" t="s">
        <v>313</v>
      </c>
      <c r="C47" s="41" t="s">
        <v>25</v>
      </c>
      <c r="D47" s="176">
        <v>3823.9639999999999</v>
      </c>
      <c r="E47" s="176">
        <v>4255.9579999999996</v>
      </c>
      <c r="F47" s="176">
        <v>4690.7849999999999</v>
      </c>
      <c r="G47" s="176">
        <v>5189.8249999999998</v>
      </c>
      <c r="H47" s="176">
        <v>3564.8679999999999</v>
      </c>
      <c r="I47" s="41" t="s">
        <v>25</v>
      </c>
      <c r="J47" s="42" t="s">
        <v>312</v>
      </c>
      <c r="K47" s="28"/>
      <c r="L47" s="6"/>
    </row>
    <row r="48" spans="2:13" ht="18" customHeight="1" x14ac:dyDescent="0.35">
      <c r="B48" s="44" t="s">
        <v>315</v>
      </c>
      <c r="C48" s="45" t="s">
        <v>23</v>
      </c>
      <c r="D48" s="172">
        <v>23127.463</v>
      </c>
      <c r="E48" s="172">
        <v>21396.826000000001</v>
      </c>
      <c r="F48" s="172">
        <v>28086.171999999999</v>
      </c>
      <c r="G48" s="172">
        <v>50190.947</v>
      </c>
      <c r="H48" s="172">
        <v>35583.616999999998</v>
      </c>
      <c r="I48" s="45" t="s">
        <v>25</v>
      </c>
      <c r="J48" s="46" t="s">
        <v>314</v>
      </c>
      <c r="K48" s="28"/>
      <c r="L48" s="6"/>
    </row>
    <row r="49" spans="2:13" ht="18" customHeight="1" x14ac:dyDescent="0.35">
      <c r="B49" s="40" t="s">
        <v>317</v>
      </c>
      <c r="C49" s="41" t="s">
        <v>26</v>
      </c>
      <c r="D49" s="176">
        <v>4115.8027576200002</v>
      </c>
      <c r="E49" s="176">
        <v>5115.1320927099996</v>
      </c>
      <c r="F49" s="176">
        <v>5942.4260665399997</v>
      </c>
      <c r="G49" s="176">
        <v>7455.3633259399994</v>
      </c>
      <c r="H49" s="176">
        <v>4500.3205772000001</v>
      </c>
      <c r="I49" s="50" t="s">
        <v>27</v>
      </c>
      <c r="J49" s="42" t="s">
        <v>316</v>
      </c>
      <c r="K49" s="28"/>
      <c r="L49" s="7"/>
    </row>
    <row r="50" spans="2:13" ht="18" customHeight="1" x14ac:dyDescent="0.35">
      <c r="B50" s="23" t="s">
        <v>62</v>
      </c>
      <c r="C50" s="24" t="s">
        <v>63</v>
      </c>
      <c r="D50" s="174">
        <v>6.0480339775317526</v>
      </c>
      <c r="E50" s="174">
        <v>5.0274994599343437</v>
      </c>
      <c r="F50" s="174">
        <v>5.9875206388696132</v>
      </c>
      <c r="G50" s="174">
        <v>9.6710287919149494</v>
      </c>
      <c r="H50" s="174">
        <v>9.9817488333368871</v>
      </c>
      <c r="I50" s="27" t="s">
        <v>68</v>
      </c>
      <c r="J50" s="48" t="s">
        <v>65</v>
      </c>
      <c r="K50" s="49"/>
      <c r="L50" s="8"/>
      <c r="M50" s="8"/>
    </row>
    <row r="51" spans="2:13" ht="18" customHeight="1" x14ac:dyDescent="0.35">
      <c r="B51" s="40" t="s">
        <v>320</v>
      </c>
      <c r="C51" s="41" t="s">
        <v>64</v>
      </c>
      <c r="D51" s="176">
        <v>1076.32</v>
      </c>
      <c r="E51" s="176">
        <v>1201.8800000000001</v>
      </c>
      <c r="F51" s="176">
        <v>1266.83</v>
      </c>
      <c r="G51" s="176">
        <v>1436.53</v>
      </c>
      <c r="H51" s="176">
        <v>1262.4100000000001</v>
      </c>
      <c r="I51" s="50" t="s">
        <v>69</v>
      </c>
      <c r="J51" s="42" t="s">
        <v>66</v>
      </c>
      <c r="K51" s="28"/>
      <c r="L51" s="7"/>
      <c r="M51" s="7"/>
    </row>
    <row r="52" spans="2:13" ht="18" customHeight="1" x14ac:dyDescent="0.35">
      <c r="B52" s="23" t="s">
        <v>319</v>
      </c>
      <c r="C52" s="24" t="s">
        <v>64</v>
      </c>
      <c r="D52" s="172">
        <v>177.96</v>
      </c>
      <c r="E52" s="172">
        <v>239.06</v>
      </c>
      <c r="F52" s="172">
        <v>211.58</v>
      </c>
      <c r="G52" s="172">
        <v>148.54</v>
      </c>
      <c r="H52" s="172">
        <v>126.47</v>
      </c>
      <c r="I52" s="27" t="s">
        <v>69</v>
      </c>
      <c r="J52" s="48" t="s">
        <v>67</v>
      </c>
      <c r="K52" s="28"/>
      <c r="L52" s="7"/>
      <c r="M52" s="7"/>
    </row>
    <row r="53" spans="2:13" ht="18" customHeight="1" x14ac:dyDescent="0.35">
      <c r="B53" s="35" t="s">
        <v>32</v>
      </c>
      <c r="C53" s="21"/>
      <c r="D53" s="21"/>
      <c r="E53" s="21"/>
      <c r="F53" s="21"/>
      <c r="G53" s="21"/>
      <c r="H53" s="21"/>
      <c r="I53" s="21"/>
      <c r="J53" s="36" t="s">
        <v>49</v>
      </c>
    </row>
    <row r="54" spans="2:13" ht="18" customHeight="1" x14ac:dyDescent="0.35">
      <c r="B54" s="37" t="s">
        <v>29</v>
      </c>
      <c r="C54" s="38"/>
      <c r="D54" s="38"/>
      <c r="E54" s="38"/>
      <c r="F54" s="38"/>
      <c r="G54" s="38"/>
      <c r="H54" s="38"/>
      <c r="I54" s="38"/>
      <c r="J54" s="39" t="s">
        <v>45</v>
      </c>
    </row>
    <row r="55" spans="2:13" ht="18" customHeight="1" x14ac:dyDescent="0.35">
      <c r="B55" s="40" t="s">
        <v>313</v>
      </c>
      <c r="C55" s="41" t="s">
        <v>25</v>
      </c>
      <c r="D55" s="176">
        <v>20.305</v>
      </c>
      <c r="E55" s="176">
        <v>74.061999999999998</v>
      </c>
      <c r="F55" s="176">
        <v>186.905</v>
      </c>
      <c r="G55" s="176">
        <v>157.52199999999999</v>
      </c>
      <c r="H55" s="176">
        <v>260.291</v>
      </c>
      <c r="I55" s="41" t="s">
        <v>25</v>
      </c>
      <c r="J55" s="42" t="s">
        <v>312</v>
      </c>
      <c r="L55" s="6"/>
    </row>
    <row r="56" spans="2:13" ht="18" customHeight="1" x14ac:dyDescent="0.35">
      <c r="B56" s="44" t="s">
        <v>315</v>
      </c>
      <c r="C56" s="45" t="s">
        <v>23</v>
      </c>
      <c r="D56" s="172">
        <v>312.22199999999998</v>
      </c>
      <c r="E56" s="172">
        <v>1666.4690000000001</v>
      </c>
      <c r="F56" s="172">
        <v>3062.52</v>
      </c>
      <c r="G56" s="172">
        <v>2997.3209999999999</v>
      </c>
      <c r="H56" s="172">
        <v>12508.715</v>
      </c>
      <c r="I56" s="45" t="s">
        <v>25</v>
      </c>
      <c r="J56" s="46" t="s">
        <v>314</v>
      </c>
      <c r="L56" s="6"/>
    </row>
    <row r="57" spans="2:13" ht="18" customHeight="1" x14ac:dyDescent="0.35">
      <c r="B57" s="40" t="s">
        <v>317</v>
      </c>
      <c r="C57" s="41" t="s">
        <v>26</v>
      </c>
      <c r="D57" s="176">
        <v>105.44933721</v>
      </c>
      <c r="E57" s="176">
        <v>360.58954249999999</v>
      </c>
      <c r="F57" s="176">
        <v>823.07158965999997</v>
      </c>
      <c r="G57" s="176">
        <v>515.61394529000006</v>
      </c>
      <c r="H57" s="176">
        <v>1016.67212349</v>
      </c>
      <c r="I57" s="47" t="s">
        <v>27</v>
      </c>
      <c r="J57" s="42" t="s">
        <v>316</v>
      </c>
      <c r="L57" s="7"/>
    </row>
    <row r="58" spans="2:13" ht="18" customHeight="1" x14ac:dyDescent="0.35">
      <c r="B58" s="23" t="s">
        <v>62</v>
      </c>
      <c r="C58" s="24" t="s">
        <v>63</v>
      </c>
      <c r="D58" s="173">
        <v>15.376554082845992</v>
      </c>
      <c r="E58" s="173">
        <v>22.50109464795112</v>
      </c>
      <c r="F58" s="173">
        <v>16.385436451673311</v>
      </c>
      <c r="G58" s="173">
        <v>19.027951651197927</v>
      </c>
      <c r="H58" s="173">
        <v>48.056655819832422</v>
      </c>
      <c r="I58" s="27" t="s">
        <v>68</v>
      </c>
      <c r="J58" s="48" t="s">
        <v>65</v>
      </c>
      <c r="L58" s="8"/>
      <c r="M58" s="8"/>
    </row>
    <row r="59" spans="2:13" ht="18" customHeight="1" x14ac:dyDescent="0.35">
      <c r="B59" s="40" t="s">
        <v>318</v>
      </c>
      <c r="C59" s="41" t="s">
        <v>64</v>
      </c>
      <c r="D59" s="176">
        <v>5193.25</v>
      </c>
      <c r="E59" s="176">
        <v>4868.7700000000004</v>
      </c>
      <c r="F59" s="176">
        <v>4403.6899999999996</v>
      </c>
      <c r="G59" s="176">
        <v>3273.28</v>
      </c>
      <c r="H59" s="176">
        <v>3905.91</v>
      </c>
      <c r="I59" s="50" t="s">
        <v>69</v>
      </c>
      <c r="J59" s="42" t="s">
        <v>66</v>
      </c>
      <c r="L59" s="7"/>
      <c r="M59" s="7"/>
    </row>
    <row r="60" spans="2:13" ht="18" customHeight="1" x14ac:dyDescent="0.35">
      <c r="B60" s="23" t="s">
        <v>319</v>
      </c>
      <c r="C60" s="24" t="s">
        <v>64</v>
      </c>
      <c r="D60" s="172">
        <v>337.74</v>
      </c>
      <c r="E60" s="172">
        <v>216.38</v>
      </c>
      <c r="F60" s="172">
        <v>268.76</v>
      </c>
      <c r="G60" s="172">
        <v>172.02</v>
      </c>
      <c r="H60" s="172">
        <v>81.28</v>
      </c>
      <c r="I60" s="27" t="s">
        <v>69</v>
      </c>
      <c r="J60" s="48" t="s">
        <v>67</v>
      </c>
      <c r="L60" s="7"/>
      <c r="M60" s="7"/>
    </row>
    <row r="61" spans="2:13" ht="18" customHeight="1" x14ac:dyDescent="0.35">
      <c r="B61" s="37" t="s">
        <v>30</v>
      </c>
      <c r="C61" s="38"/>
      <c r="D61" s="51"/>
      <c r="E61" s="51"/>
      <c r="F61" s="51"/>
      <c r="G61" s="51"/>
      <c r="H61" s="51"/>
      <c r="I61" s="38"/>
      <c r="J61" s="39" t="s">
        <v>46</v>
      </c>
    </row>
    <row r="62" spans="2:13" ht="18" customHeight="1" x14ac:dyDescent="0.35">
      <c r="B62" s="40" t="s">
        <v>313</v>
      </c>
      <c r="C62" s="41" t="s">
        <v>25</v>
      </c>
      <c r="D62" s="176">
        <v>5268.692</v>
      </c>
      <c r="E62" s="176">
        <v>5971.17</v>
      </c>
      <c r="F62" s="176">
        <v>6906.0879999999997</v>
      </c>
      <c r="G62" s="176">
        <v>7333.549</v>
      </c>
      <c r="H62" s="176">
        <v>5906.5659999999998</v>
      </c>
      <c r="I62" s="41" t="s">
        <v>25</v>
      </c>
      <c r="J62" s="42" t="s">
        <v>312</v>
      </c>
      <c r="L62" s="53"/>
    </row>
    <row r="63" spans="2:13" ht="18" customHeight="1" x14ac:dyDescent="0.35">
      <c r="B63" s="44" t="s">
        <v>315</v>
      </c>
      <c r="C63" s="45" t="s">
        <v>23</v>
      </c>
      <c r="D63" s="172">
        <v>42702.697</v>
      </c>
      <c r="E63" s="172">
        <v>39078.637999999999</v>
      </c>
      <c r="F63" s="172">
        <v>61405.364999999998</v>
      </c>
      <c r="G63" s="172">
        <v>61210.514999999999</v>
      </c>
      <c r="H63" s="172">
        <v>37701.258000000002</v>
      </c>
      <c r="I63" s="45" t="s">
        <v>25</v>
      </c>
      <c r="J63" s="46" t="s">
        <v>314</v>
      </c>
      <c r="L63" s="53"/>
    </row>
    <row r="64" spans="2:13" ht="18" customHeight="1" x14ac:dyDescent="0.35">
      <c r="B64" s="40" t="s">
        <v>317</v>
      </c>
      <c r="C64" s="41" t="s">
        <v>26</v>
      </c>
      <c r="D64" s="176">
        <v>8182.9919686899993</v>
      </c>
      <c r="E64" s="176">
        <v>7067.8655446099992</v>
      </c>
      <c r="F64" s="176">
        <v>9534.9038260100006</v>
      </c>
      <c r="G64" s="176">
        <v>8598.5186625999995</v>
      </c>
      <c r="H64" s="176">
        <v>5282.9572462299993</v>
      </c>
      <c r="I64" s="50" t="s">
        <v>27</v>
      </c>
      <c r="J64" s="42" t="s">
        <v>316</v>
      </c>
    </row>
    <row r="65" spans="2:13" ht="18" customHeight="1" x14ac:dyDescent="0.35">
      <c r="B65" s="23" t="s">
        <v>62</v>
      </c>
      <c r="C65" s="24" t="s">
        <v>63</v>
      </c>
      <c r="D65" s="177">
        <v>8.1049901745853248</v>
      </c>
      <c r="E65" s="177">
        <v>6.5445528375179194</v>
      </c>
      <c r="F65" s="177">
        <v>8.8914831377764081</v>
      </c>
      <c r="G65" s="177">
        <v>8.3466429419098453</v>
      </c>
      <c r="H65" s="177">
        <v>6.3829402735870557</v>
      </c>
      <c r="I65" s="27" t="s">
        <v>68</v>
      </c>
      <c r="J65" s="48" t="s">
        <v>65</v>
      </c>
    </row>
    <row r="66" spans="2:13" ht="18" customHeight="1" x14ac:dyDescent="0.35">
      <c r="B66" s="40" t="s">
        <v>320</v>
      </c>
      <c r="C66" s="41" t="s">
        <v>64</v>
      </c>
      <c r="D66" s="176">
        <v>1553.14</v>
      </c>
      <c r="E66" s="176">
        <v>1183.67</v>
      </c>
      <c r="F66" s="176">
        <v>1380.65</v>
      </c>
      <c r="G66" s="176">
        <v>1172.49</v>
      </c>
      <c r="H66" s="176">
        <v>894.42</v>
      </c>
      <c r="I66" s="50" t="s">
        <v>69</v>
      </c>
      <c r="J66" s="42" t="s">
        <v>66</v>
      </c>
      <c r="L66" s="6"/>
    </row>
    <row r="67" spans="2:13" ht="18" customHeight="1" x14ac:dyDescent="0.35">
      <c r="B67" s="23" t="s">
        <v>319</v>
      </c>
      <c r="C67" s="24" t="s">
        <v>64</v>
      </c>
      <c r="D67" s="172">
        <v>191.63</v>
      </c>
      <c r="E67" s="172">
        <v>180.86</v>
      </c>
      <c r="F67" s="172">
        <v>155.28</v>
      </c>
      <c r="G67" s="172">
        <v>140.47</v>
      </c>
      <c r="H67" s="172">
        <v>140.13</v>
      </c>
      <c r="I67" s="27" t="s">
        <v>69</v>
      </c>
      <c r="J67" s="48" t="s">
        <v>67</v>
      </c>
      <c r="L67" s="6"/>
    </row>
    <row r="68" spans="2:13" ht="18" customHeight="1" x14ac:dyDescent="0.35">
      <c r="B68" s="37" t="s">
        <v>31</v>
      </c>
      <c r="C68" s="38"/>
      <c r="D68" s="51"/>
      <c r="E68" s="51"/>
      <c r="F68" s="51"/>
      <c r="G68" s="51"/>
      <c r="H68" s="51"/>
      <c r="I68" s="38"/>
      <c r="J68" s="39" t="s">
        <v>47</v>
      </c>
      <c r="L68" s="7"/>
    </row>
    <row r="69" spans="2:13" ht="18" customHeight="1" x14ac:dyDescent="0.35">
      <c r="B69" s="40" t="s">
        <v>313</v>
      </c>
      <c r="C69" s="41" t="s">
        <v>25</v>
      </c>
      <c r="D69" s="176">
        <v>5288.9970000000003</v>
      </c>
      <c r="E69" s="176">
        <v>6045.232</v>
      </c>
      <c r="F69" s="176">
        <v>7092.9930000000004</v>
      </c>
      <c r="G69" s="176">
        <v>7491.0709999999999</v>
      </c>
      <c r="H69" s="176">
        <v>6166.857</v>
      </c>
      <c r="I69" s="41" t="s">
        <v>25</v>
      </c>
      <c r="J69" s="42" t="s">
        <v>312</v>
      </c>
      <c r="L69" s="8"/>
      <c r="M69" s="8"/>
    </row>
    <row r="70" spans="2:13" ht="18" customHeight="1" x14ac:dyDescent="0.35">
      <c r="B70" s="44" t="s">
        <v>315</v>
      </c>
      <c r="C70" s="45" t="s">
        <v>23</v>
      </c>
      <c r="D70" s="172">
        <v>43014.919000000002</v>
      </c>
      <c r="E70" s="172">
        <v>40745.106</v>
      </c>
      <c r="F70" s="172">
        <v>64467.885000000002</v>
      </c>
      <c r="G70" s="172">
        <v>64207.836000000003</v>
      </c>
      <c r="H70" s="172">
        <v>50209.972999999998</v>
      </c>
      <c r="I70" s="45" t="s">
        <v>25</v>
      </c>
      <c r="J70" s="46" t="s">
        <v>314</v>
      </c>
      <c r="L70" s="7"/>
      <c r="M70" s="7"/>
    </row>
    <row r="71" spans="2:13" ht="18" customHeight="1" x14ac:dyDescent="0.35">
      <c r="B71" s="40" t="s">
        <v>317</v>
      </c>
      <c r="C71" s="41" t="s">
        <v>26</v>
      </c>
      <c r="D71" s="176">
        <v>8288.4413058999999</v>
      </c>
      <c r="E71" s="176">
        <v>7428.45508711</v>
      </c>
      <c r="F71" s="176">
        <v>10357.97541567</v>
      </c>
      <c r="G71" s="176">
        <v>9114.1326078900001</v>
      </c>
      <c r="H71" s="176">
        <v>6299.6293697199999</v>
      </c>
      <c r="I71" s="50" t="s">
        <v>27</v>
      </c>
      <c r="J71" s="42" t="s">
        <v>316</v>
      </c>
      <c r="L71" s="7"/>
      <c r="M71" s="7"/>
    </row>
    <row r="72" spans="2:13" ht="18" customHeight="1" x14ac:dyDescent="0.35">
      <c r="B72" s="23" t="s">
        <v>62</v>
      </c>
      <c r="C72" s="24" t="s">
        <v>63</v>
      </c>
      <c r="D72" s="174">
        <v>8.1329065739914359</v>
      </c>
      <c r="E72" s="174">
        <v>6.7400405030538515</v>
      </c>
      <c r="F72" s="174">
        <v>9.08895370402875</v>
      </c>
      <c r="G72" s="174">
        <v>8.5712491578307031</v>
      </c>
      <c r="H72" s="174">
        <v>8.1419064849403835</v>
      </c>
      <c r="I72" s="27" t="s">
        <v>68</v>
      </c>
      <c r="J72" s="48" t="s">
        <v>65</v>
      </c>
    </row>
    <row r="73" spans="2:13" ht="18" customHeight="1" x14ac:dyDescent="0.35">
      <c r="B73" s="40" t="s">
        <v>320</v>
      </c>
      <c r="C73" s="41" t="s">
        <v>64</v>
      </c>
      <c r="D73" s="176">
        <v>1567.11</v>
      </c>
      <c r="E73" s="176">
        <v>1228.81</v>
      </c>
      <c r="F73" s="176">
        <v>1460.31</v>
      </c>
      <c r="G73" s="176">
        <v>1216.67</v>
      </c>
      <c r="H73" s="176">
        <v>1021.53</v>
      </c>
      <c r="I73" s="50" t="s">
        <v>69</v>
      </c>
      <c r="J73" s="42" t="s">
        <v>66</v>
      </c>
    </row>
    <row r="74" spans="2:13" ht="18" customHeight="1" x14ac:dyDescent="0.35">
      <c r="B74" s="23" t="s">
        <v>319</v>
      </c>
      <c r="C74" s="24" t="s">
        <v>64</v>
      </c>
      <c r="D74" s="172">
        <v>192.69</v>
      </c>
      <c r="E74" s="172">
        <v>182.32</v>
      </c>
      <c r="F74" s="172">
        <v>160.66999999999999</v>
      </c>
      <c r="G74" s="172">
        <v>141.94999999999999</v>
      </c>
      <c r="H74" s="172">
        <v>125.47</v>
      </c>
      <c r="I74" s="27" t="s">
        <v>69</v>
      </c>
      <c r="J74" s="48" t="s">
        <v>67</v>
      </c>
    </row>
    <row r="75" spans="2:13" ht="18" customHeight="1" x14ac:dyDescent="0.35">
      <c r="B75" s="35" t="s">
        <v>34</v>
      </c>
      <c r="C75" s="21"/>
      <c r="D75" s="21"/>
      <c r="E75" s="21"/>
      <c r="F75" s="21"/>
      <c r="G75" s="21"/>
      <c r="H75" s="21"/>
      <c r="I75" s="21"/>
      <c r="J75" s="36" t="s">
        <v>51</v>
      </c>
    </row>
    <row r="76" spans="2:13" ht="18" customHeight="1" x14ac:dyDescent="0.35">
      <c r="B76" s="37" t="s">
        <v>29</v>
      </c>
      <c r="C76" s="38"/>
      <c r="D76" s="38"/>
      <c r="E76" s="38"/>
      <c r="F76" s="38"/>
      <c r="G76" s="38"/>
      <c r="H76" s="38"/>
      <c r="I76" s="38"/>
      <c r="J76" s="39" t="s">
        <v>45</v>
      </c>
    </row>
    <row r="77" spans="2:13" ht="18" customHeight="1" x14ac:dyDescent="0.35">
      <c r="B77" s="40" t="s">
        <v>313</v>
      </c>
      <c r="C77" s="41" t="s">
        <v>25</v>
      </c>
      <c r="D77" s="176">
        <v>1187.6279999999999</v>
      </c>
      <c r="E77" s="176">
        <v>3998.3270000000002</v>
      </c>
      <c r="F77" s="176">
        <v>5667.3639999999996</v>
      </c>
      <c r="G77" s="176">
        <v>4997.6719999999996</v>
      </c>
      <c r="H77" s="176">
        <v>3606.02</v>
      </c>
      <c r="I77" s="41" t="s">
        <v>25</v>
      </c>
      <c r="J77" s="42" t="s">
        <v>312</v>
      </c>
      <c r="L77" s="6"/>
    </row>
    <row r="78" spans="2:13" ht="18" customHeight="1" x14ac:dyDescent="0.35">
      <c r="B78" s="23" t="s">
        <v>315</v>
      </c>
      <c r="C78" s="24" t="s">
        <v>23</v>
      </c>
      <c r="D78" s="172">
        <v>6314.951</v>
      </c>
      <c r="E78" s="172">
        <v>22678.424999999999</v>
      </c>
      <c r="F78" s="172">
        <v>26768.74</v>
      </c>
      <c r="G78" s="172">
        <v>26689.27</v>
      </c>
      <c r="H78" s="172">
        <v>18690.589</v>
      </c>
      <c r="I78" s="24" t="s">
        <v>25</v>
      </c>
      <c r="J78" s="48" t="s">
        <v>314</v>
      </c>
      <c r="L78" s="6"/>
    </row>
    <row r="79" spans="2:13" ht="18" customHeight="1" x14ac:dyDescent="0.35">
      <c r="B79" s="40" t="s">
        <v>317</v>
      </c>
      <c r="C79" s="41" t="s">
        <v>26</v>
      </c>
      <c r="D79" s="176">
        <v>2905.6864944600002</v>
      </c>
      <c r="E79" s="176">
        <v>9160.0049424200006</v>
      </c>
      <c r="F79" s="176">
        <v>11037.346611620002</v>
      </c>
      <c r="G79" s="176">
        <v>8665.5506605200007</v>
      </c>
      <c r="H79" s="176">
        <v>6472.2493329899999</v>
      </c>
      <c r="I79" s="50" t="s">
        <v>27</v>
      </c>
      <c r="J79" s="42" t="s">
        <v>316</v>
      </c>
      <c r="L79" s="7"/>
    </row>
    <row r="80" spans="2:13" ht="18" customHeight="1" x14ac:dyDescent="0.35">
      <c r="B80" s="23" t="s">
        <v>62</v>
      </c>
      <c r="C80" s="24" t="s">
        <v>63</v>
      </c>
      <c r="D80" s="173">
        <v>5.3172787769239367</v>
      </c>
      <c r="E80" s="173">
        <v>5.6719790533460364</v>
      </c>
      <c r="F80" s="173">
        <v>4.7233140486476604</v>
      </c>
      <c r="G80" s="173">
        <v>5.3403404625193494</v>
      </c>
      <c r="H80" s="173">
        <v>5.1831628776324035</v>
      </c>
      <c r="I80" s="27" t="s">
        <v>68</v>
      </c>
      <c r="J80" s="48" t="s">
        <v>65</v>
      </c>
      <c r="L80" s="8"/>
      <c r="M80" s="8"/>
    </row>
    <row r="81" spans="2:13" ht="18" customHeight="1" x14ac:dyDescent="0.35">
      <c r="B81" s="40" t="s">
        <v>320</v>
      </c>
      <c r="C81" s="41" t="s">
        <v>64</v>
      </c>
      <c r="D81" s="176">
        <v>2446.63</v>
      </c>
      <c r="E81" s="176">
        <v>2290.96</v>
      </c>
      <c r="F81" s="176">
        <v>1947.53</v>
      </c>
      <c r="G81" s="176">
        <v>1733.92</v>
      </c>
      <c r="H81" s="176">
        <v>1794.85</v>
      </c>
      <c r="I81" s="50" t="s">
        <v>69</v>
      </c>
      <c r="J81" s="42" t="s">
        <v>66</v>
      </c>
      <c r="L81" s="7"/>
      <c r="M81" s="7"/>
    </row>
    <row r="82" spans="2:13" ht="18" customHeight="1" x14ac:dyDescent="0.35">
      <c r="B82" s="23" t="s">
        <v>319</v>
      </c>
      <c r="C82" s="24" t="s">
        <v>64</v>
      </c>
      <c r="D82" s="172">
        <v>460.13</v>
      </c>
      <c r="E82" s="172">
        <v>403.91</v>
      </c>
      <c r="F82" s="172">
        <v>412.32</v>
      </c>
      <c r="G82" s="172">
        <v>324.68</v>
      </c>
      <c r="H82" s="172">
        <v>346.28</v>
      </c>
      <c r="I82" s="27" t="s">
        <v>69</v>
      </c>
      <c r="J82" s="48" t="s">
        <v>67</v>
      </c>
      <c r="L82" s="7"/>
      <c r="M82" s="7"/>
    </row>
    <row r="83" spans="2:13" ht="18" customHeight="1" x14ac:dyDescent="0.35">
      <c r="B83" s="37" t="s">
        <v>30</v>
      </c>
      <c r="C83" s="38"/>
      <c r="D83" s="51"/>
      <c r="E83" s="51"/>
      <c r="F83" s="51"/>
      <c r="G83" s="51"/>
      <c r="H83" s="51"/>
      <c r="I83" s="38"/>
      <c r="J83" s="39" t="s">
        <v>46</v>
      </c>
    </row>
    <row r="84" spans="2:13" ht="18" customHeight="1" x14ac:dyDescent="0.35">
      <c r="B84" s="40" t="s">
        <v>313</v>
      </c>
      <c r="C84" s="41" t="s">
        <v>25</v>
      </c>
      <c r="D84" s="176">
        <v>9272.8989999999994</v>
      </c>
      <c r="E84" s="176">
        <v>11139.453</v>
      </c>
      <c r="F84" s="176">
        <v>13457.364</v>
      </c>
      <c r="G84" s="176">
        <v>13644.38</v>
      </c>
      <c r="H84" s="176">
        <v>12965.308999999999</v>
      </c>
      <c r="I84" s="41" t="s">
        <v>25</v>
      </c>
      <c r="J84" s="42" t="s">
        <v>312</v>
      </c>
      <c r="L84" s="53"/>
    </row>
    <row r="85" spans="2:13" ht="18" customHeight="1" x14ac:dyDescent="0.35">
      <c r="B85" s="44" t="s">
        <v>315</v>
      </c>
      <c r="C85" s="45" t="s">
        <v>23</v>
      </c>
      <c r="D85" s="172">
        <v>49840.252</v>
      </c>
      <c r="E85" s="172">
        <v>47441.446000000004</v>
      </c>
      <c r="F85" s="172">
        <v>82944.240999999995</v>
      </c>
      <c r="G85" s="172">
        <v>81591.376999999993</v>
      </c>
      <c r="H85" s="172">
        <v>68351.573999999993</v>
      </c>
      <c r="I85" s="45" t="s">
        <v>25</v>
      </c>
      <c r="J85" s="46" t="s">
        <v>314</v>
      </c>
      <c r="L85" s="53"/>
    </row>
    <row r="86" spans="2:13" ht="18" customHeight="1" x14ac:dyDescent="0.35">
      <c r="B86" s="40" t="s">
        <v>317</v>
      </c>
      <c r="C86" s="41" t="s">
        <v>26</v>
      </c>
      <c r="D86" s="176">
        <v>14639.07915535</v>
      </c>
      <c r="E86" s="176">
        <v>12683.28681781</v>
      </c>
      <c r="F86" s="176">
        <v>16791.92335886</v>
      </c>
      <c r="G86" s="176">
        <v>16421.823424030001</v>
      </c>
      <c r="H86" s="176">
        <v>14624.904753639999</v>
      </c>
      <c r="I86" s="50" t="s">
        <v>27</v>
      </c>
      <c r="J86" s="42" t="s">
        <v>316</v>
      </c>
    </row>
    <row r="87" spans="2:13" ht="18" customHeight="1" x14ac:dyDescent="0.35">
      <c r="B87" s="23" t="s">
        <v>62</v>
      </c>
      <c r="C87" s="24" t="s">
        <v>63</v>
      </c>
      <c r="D87" s="177">
        <v>5.3748295697533655</v>
      </c>
      <c r="E87" s="177">
        <v>4.2588667821566011</v>
      </c>
      <c r="F87" s="177">
        <v>6.1634835024154802</v>
      </c>
      <c r="G87" s="177">
        <v>5.9798522908332954</v>
      </c>
      <c r="H87" s="177">
        <v>5.271881603438838</v>
      </c>
      <c r="I87" s="27" t="s">
        <v>68</v>
      </c>
      <c r="J87" s="48" t="s">
        <v>65</v>
      </c>
    </row>
    <row r="88" spans="2:13" ht="18" customHeight="1" x14ac:dyDescent="0.35">
      <c r="B88" s="40" t="s">
        <v>320</v>
      </c>
      <c r="C88" s="41" t="s">
        <v>64</v>
      </c>
      <c r="D88" s="176">
        <v>1578.69</v>
      </c>
      <c r="E88" s="176">
        <v>1138.5899999999999</v>
      </c>
      <c r="F88" s="176">
        <v>1247.79</v>
      </c>
      <c r="G88" s="176">
        <v>1203.56</v>
      </c>
      <c r="H88" s="176">
        <v>1128</v>
      </c>
      <c r="I88" s="50" t="s">
        <v>69</v>
      </c>
      <c r="J88" s="42" t="s">
        <v>66</v>
      </c>
      <c r="L88" s="6"/>
    </row>
    <row r="89" spans="2:13" ht="18" customHeight="1" x14ac:dyDescent="0.35">
      <c r="B89" s="23" t="s">
        <v>319</v>
      </c>
      <c r="C89" s="24" t="s">
        <v>64</v>
      </c>
      <c r="D89" s="172">
        <v>293.72000000000003</v>
      </c>
      <c r="E89" s="172">
        <v>267.35000000000002</v>
      </c>
      <c r="F89" s="172">
        <v>202.45</v>
      </c>
      <c r="G89" s="172">
        <v>201.27</v>
      </c>
      <c r="H89" s="172">
        <v>213.97</v>
      </c>
      <c r="I89" s="27" t="s">
        <v>69</v>
      </c>
      <c r="J89" s="48" t="s">
        <v>67</v>
      </c>
      <c r="L89" s="6"/>
    </row>
    <row r="90" spans="2:13" ht="18" customHeight="1" x14ac:dyDescent="0.35">
      <c r="B90" s="37" t="s">
        <v>31</v>
      </c>
      <c r="C90" s="38"/>
      <c r="D90" s="51"/>
      <c r="E90" s="51"/>
      <c r="F90" s="51"/>
      <c r="G90" s="51"/>
      <c r="H90" s="51"/>
      <c r="I90" s="38"/>
      <c r="J90" s="39" t="s">
        <v>47</v>
      </c>
      <c r="L90" s="7"/>
    </row>
    <row r="91" spans="2:13" ht="18" customHeight="1" x14ac:dyDescent="0.35">
      <c r="B91" s="40" t="s">
        <v>313</v>
      </c>
      <c r="C91" s="41" t="s">
        <v>25</v>
      </c>
      <c r="D91" s="176">
        <v>10460.527</v>
      </c>
      <c r="E91" s="176">
        <v>15137.78</v>
      </c>
      <c r="F91" s="176">
        <v>19124.727999999999</v>
      </c>
      <c r="G91" s="176">
        <v>18642.052</v>
      </c>
      <c r="H91" s="176">
        <v>16571.329000000002</v>
      </c>
      <c r="I91" s="41" t="s">
        <v>25</v>
      </c>
      <c r="J91" s="42" t="s">
        <v>312</v>
      </c>
      <c r="L91" s="8"/>
      <c r="M91" s="8"/>
    </row>
    <row r="92" spans="2:13" ht="18" customHeight="1" x14ac:dyDescent="0.35">
      <c r="B92" s="44" t="s">
        <v>315</v>
      </c>
      <c r="C92" s="45" t="s">
        <v>23</v>
      </c>
      <c r="D92" s="172">
        <v>56155.203000000001</v>
      </c>
      <c r="E92" s="172">
        <v>70119.872000000003</v>
      </c>
      <c r="F92" s="172">
        <v>109712.981</v>
      </c>
      <c r="G92" s="172">
        <v>108280.647</v>
      </c>
      <c r="H92" s="172">
        <v>87042.163</v>
      </c>
      <c r="I92" s="45" t="s">
        <v>25</v>
      </c>
      <c r="J92" s="46" t="s">
        <v>314</v>
      </c>
      <c r="L92" s="7"/>
      <c r="M92" s="7"/>
    </row>
    <row r="93" spans="2:13" ht="18" customHeight="1" x14ac:dyDescent="0.35">
      <c r="B93" s="40" t="s">
        <v>317</v>
      </c>
      <c r="C93" s="41" t="s">
        <v>26</v>
      </c>
      <c r="D93" s="176">
        <v>17544.76564981</v>
      </c>
      <c r="E93" s="176">
        <v>21843.29176023</v>
      </c>
      <c r="F93" s="176">
        <v>27829.26997048</v>
      </c>
      <c r="G93" s="176">
        <v>25087.37408455</v>
      </c>
      <c r="H93" s="176">
        <v>21097.154086630002</v>
      </c>
      <c r="I93" s="50" t="s">
        <v>27</v>
      </c>
      <c r="J93" s="42" t="s">
        <v>316</v>
      </c>
      <c r="L93" s="7"/>
      <c r="M93" s="7"/>
    </row>
    <row r="94" spans="2:13" ht="18" customHeight="1" x14ac:dyDescent="0.35">
      <c r="B94" s="23" t="s">
        <v>62</v>
      </c>
      <c r="C94" s="24" t="s">
        <v>63</v>
      </c>
      <c r="D94" s="174">
        <v>5.3682955823873471</v>
      </c>
      <c r="E94" s="174">
        <v>4.6321107220661846</v>
      </c>
      <c r="F94" s="174">
        <v>5.736708046252998</v>
      </c>
      <c r="G94" s="174">
        <v>5.808408162363242</v>
      </c>
      <c r="H94" s="174">
        <v>5.252575879701622</v>
      </c>
      <c r="I94" s="27" t="s">
        <v>68</v>
      </c>
      <c r="J94" s="48" t="s">
        <v>65</v>
      </c>
    </row>
    <row r="95" spans="2:13" ht="18" customHeight="1" x14ac:dyDescent="0.35">
      <c r="B95" s="40" t="s">
        <v>320</v>
      </c>
      <c r="C95" s="41" t="s">
        <v>64</v>
      </c>
      <c r="D95" s="176">
        <v>1677.24</v>
      </c>
      <c r="E95" s="176">
        <v>1442.97</v>
      </c>
      <c r="F95" s="176">
        <v>1455.15</v>
      </c>
      <c r="G95" s="176">
        <v>1345.74</v>
      </c>
      <c r="H95" s="176">
        <v>1273.1099999999999</v>
      </c>
      <c r="I95" s="50" t="s">
        <v>69</v>
      </c>
      <c r="J95" s="42" t="s">
        <v>66</v>
      </c>
    </row>
    <row r="96" spans="2:13" ht="18" customHeight="1" x14ac:dyDescent="0.35">
      <c r="B96" s="23" t="s">
        <v>319</v>
      </c>
      <c r="C96" s="24" t="s">
        <v>64</v>
      </c>
      <c r="D96" s="172">
        <v>312.43</v>
      </c>
      <c r="E96" s="172">
        <v>311.51</v>
      </c>
      <c r="F96" s="172">
        <v>253.66</v>
      </c>
      <c r="G96" s="172">
        <v>231.69</v>
      </c>
      <c r="H96" s="172">
        <v>242.38</v>
      </c>
      <c r="I96" s="27" t="s">
        <v>69</v>
      </c>
      <c r="J96" s="48" t="s">
        <v>67</v>
      </c>
    </row>
    <row r="97" spans="2:13" ht="18" customHeight="1" x14ac:dyDescent="0.35">
      <c r="B97" s="35" t="s">
        <v>35</v>
      </c>
      <c r="C97" s="21"/>
      <c r="D97" s="21"/>
      <c r="E97" s="21"/>
      <c r="F97" s="21"/>
      <c r="G97" s="21"/>
      <c r="H97" s="21"/>
      <c r="I97" s="21"/>
      <c r="J97" s="36" t="s">
        <v>52</v>
      </c>
    </row>
    <row r="98" spans="2:13" ht="18" customHeight="1" x14ac:dyDescent="0.35">
      <c r="B98" s="37" t="s">
        <v>29</v>
      </c>
      <c r="C98" s="38"/>
      <c r="D98" s="38"/>
      <c r="E98" s="38"/>
      <c r="F98" s="38"/>
      <c r="G98" s="38"/>
      <c r="H98" s="38"/>
      <c r="I98" s="38"/>
      <c r="J98" s="39" t="s">
        <v>45</v>
      </c>
    </row>
    <row r="99" spans="2:13" ht="18" customHeight="1" x14ac:dyDescent="0.35">
      <c r="B99" s="40" t="s">
        <v>313</v>
      </c>
      <c r="C99" s="41" t="s">
        <v>25</v>
      </c>
      <c r="D99" s="176">
        <v>90.472999999999999</v>
      </c>
      <c r="E99" s="176">
        <v>135.822</v>
      </c>
      <c r="F99" s="176">
        <v>357.82</v>
      </c>
      <c r="G99" s="176">
        <v>326.19400000000002</v>
      </c>
      <c r="H99" s="176">
        <v>230.74299999999999</v>
      </c>
      <c r="I99" s="41" t="s">
        <v>25</v>
      </c>
      <c r="J99" s="42" t="s">
        <v>312</v>
      </c>
      <c r="L99" s="6"/>
    </row>
    <row r="100" spans="2:13" ht="18" customHeight="1" x14ac:dyDescent="0.35">
      <c r="B100" s="44" t="s">
        <v>315</v>
      </c>
      <c r="C100" s="45" t="s">
        <v>23</v>
      </c>
      <c r="D100" s="172">
        <v>2853.6709999999998</v>
      </c>
      <c r="E100" s="172">
        <v>5740.5069999999996</v>
      </c>
      <c r="F100" s="172">
        <v>17610.003000000001</v>
      </c>
      <c r="G100" s="172">
        <v>18860.310000000001</v>
      </c>
      <c r="H100" s="172">
        <v>8571.9290000000001</v>
      </c>
      <c r="I100" s="45" t="s">
        <v>25</v>
      </c>
      <c r="J100" s="46" t="s">
        <v>314</v>
      </c>
      <c r="L100" s="6"/>
    </row>
    <row r="101" spans="2:13" ht="18" customHeight="1" x14ac:dyDescent="0.35">
      <c r="B101" s="40" t="s">
        <v>317</v>
      </c>
      <c r="C101" s="41" t="s">
        <v>26</v>
      </c>
      <c r="D101" s="176">
        <v>355.24960199000003</v>
      </c>
      <c r="E101" s="176">
        <v>378.42391243999998</v>
      </c>
      <c r="F101" s="176">
        <v>2273.0684085600001</v>
      </c>
      <c r="G101" s="176">
        <v>1359.3576559600001</v>
      </c>
      <c r="H101" s="176">
        <v>755.34606532999999</v>
      </c>
      <c r="I101" s="50" t="s">
        <v>27</v>
      </c>
      <c r="J101" s="42" t="s">
        <v>316</v>
      </c>
      <c r="L101" s="7"/>
    </row>
    <row r="102" spans="2:13" ht="18" customHeight="1" x14ac:dyDescent="0.35">
      <c r="B102" s="23" t="s">
        <v>62</v>
      </c>
      <c r="C102" s="24" t="s">
        <v>63</v>
      </c>
      <c r="D102" s="173">
        <v>31.541600578558199</v>
      </c>
      <c r="E102" s="173">
        <v>42.264985259291635</v>
      </c>
      <c r="F102" s="173">
        <v>49.214697333855014</v>
      </c>
      <c r="G102" s="173">
        <v>57.819303849856219</v>
      </c>
      <c r="H102" s="173">
        <v>37.149248297889862</v>
      </c>
      <c r="I102" s="27" t="s">
        <v>68</v>
      </c>
      <c r="J102" s="48" t="s">
        <v>65</v>
      </c>
      <c r="L102" s="8"/>
      <c r="M102" s="8"/>
    </row>
    <row r="103" spans="2:13" ht="18" customHeight="1" x14ac:dyDescent="0.35">
      <c r="B103" s="40" t="s">
        <v>320</v>
      </c>
      <c r="C103" s="41" t="s">
        <v>64</v>
      </c>
      <c r="D103" s="176">
        <v>3926.57</v>
      </c>
      <c r="E103" s="176">
        <v>2786.18</v>
      </c>
      <c r="F103" s="176">
        <v>6352.55</v>
      </c>
      <c r="G103" s="176">
        <v>4167.33</v>
      </c>
      <c r="H103" s="176">
        <v>3273.54</v>
      </c>
      <c r="I103" s="50" t="s">
        <v>69</v>
      </c>
      <c r="J103" s="42" t="s">
        <v>66</v>
      </c>
      <c r="L103" s="7"/>
      <c r="M103" s="7"/>
    </row>
    <row r="104" spans="2:13" ht="18" customHeight="1" x14ac:dyDescent="0.35">
      <c r="B104" s="23" t="s">
        <v>319</v>
      </c>
      <c r="C104" s="24" t="s">
        <v>64</v>
      </c>
      <c r="D104" s="172">
        <v>124.49</v>
      </c>
      <c r="E104" s="172">
        <v>65.92</v>
      </c>
      <c r="F104" s="172">
        <v>129.08000000000001</v>
      </c>
      <c r="G104" s="172">
        <v>72.08</v>
      </c>
      <c r="H104" s="172">
        <v>88.12</v>
      </c>
      <c r="I104" s="27" t="s">
        <v>69</v>
      </c>
      <c r="J104" s="48" t="s">
        <v>67</v>
      </c>
      <c r="L104" s="7"/>
      <c r="M104" s="7"/>
    </row>
    <row r="105" spans="2:13" ht="18" customHeight="1" x14ac:dyDescent="0.35">
      <c r="B105" s="37" t="s">
        <v>30</v>
      </c>
      <c r="C105" s="38"/>
      <c r="D105" s="51"/>
      <c r="E105" s="51"/>
      <c r="F105" s="51"/>
      <c r="G105" s="51"/>
      <c r="H105" s="51"/>
      <c r="I105" s="38"/>
      <c r="J105" s="39" t="s">
        <v>46</v>
      </c>
    </row>
    <row r="106" spans="2:13" ht="18" customHeight="1" x14ac:dyDescent="0.35">
      <c r="B106" s="40" t="s">
        <v>313</v>
      </c>
      <c r="C106" s="41" t="s">
        <v>25</v>
      </c>
      <c r="D106" s="176">
        <v>1849.6420000000001</v>
      </c>
      <c r="E106" s="176">
        <v>2148.5430000000001</v>
      </c>
      <c r="F106" s="176">
        <v>1835.817</v>
      </c>
      <c r="G106" s="176">
        <v>1840.798</v>
      </c>
      <c r="H106" s="176">
        <v>2269.8760000000002</v>
      </c>
      <c r="I106" s="41" t="s">
        <v>25</v>
      </c>
      <c r="J106" s="42" t="s">
        <v>312</v>
      </c>
      <c r="L106" s="53"/>
    </row>
    <row r="107" spans="2:13" ht="18" customHeight="1" x14ac:dyDescent="0.35">
      <c r="B107" s="44" t="s">
        <v>315</v>
      </c>
      <c r="C107" s="45" t="s">
        <v>23</v>
      </c>
      <c r="D107" s="172">
        <v>12937.825999999999</v>
      </c>
      <c r="E107" s="172">
        <v>13786.409</v>
      </c>
      <c r="F107" s="172">
        <v>12808.484</v>
      </c>
      <c r="G107" s="172">
        <v>13792.431</v>
      </c>
      <c r="H107" s="172">
        <v>15208.888999999999</v>
      </c>
      <c r="I107" s="45" t="s">
        <v>25</v>
      </c>
      <c r="J107" s="46" t="s">
        <v>314</v>
      </c>
      <c r="L107" s="53"/>
    </row>
    <row r="108" spans="2:13" ht="18" customHeight="1" x14ac:dyDescent="0.35">
      <c r="B108" s="40" t="s">
        <v>317</v>
      </c>
      <c r="C108" s="41" t="s">
        <v>26</v>
      </c>
      <c r="D108" s="176">
        <v>2667.80265994</v>
      </c>
      <c r="E108" s="176">
        <v>4007.8094346999997</v>
      </c>
      <c r="F108" s="176">
        <v>2780.2206055199999</v>
      </c>
      <c r="G108" s="176">
        <v>2550.0493570500003</v>
      </c>
      <c r="H108" s="176">
        <v>2665.4680429599998</v>
      </c>
      <c r="I108" s="50" t="s">
        <v>27</v>
      </c>
      <c r="J108" s="42" t="s">
        <v>316</v>
      </c>
    </row>
    <row r="109" spans="2:13" ht="18" customHeight="1" x14ac:dyDescent="0.35">
      <c r="B109" s="23" t="s">
        <v>62</v>
      </c>
      <c r="C109" s="24" t="s">
        <v>63</v>
      </c>
      <c r="D109" s="177">
        <v>6.9947730221772817</v>
      </c>
      <c r="E109" s="177">
        <v>6.4166318730212959</v>
      </c>
      <c r="F109" s="177">
        <v>6.9769938942715966</v>
      </c>
      <c r="G109" s="177">
        <v>7.4926368890014006</v>
      </c>
      <c r="H109" s="177">
        <v>6.7003171098333123</v>
      </c>
      <c r="I109" s="27" t="s">
        <v>68</v>
      </c>
      <c r="J109" s="48" t="s">
        <v>65</v>
      </c>
    </row>
    <row r="110" spans="2:13" ht="18" customHeight="1" x14ac:dyDescent="0.35">
      <c r="B110" s="40" t="s">
        <v>320</v>
      </c>
      <c r="C110" s="41" t="s">
        <v>64</v>
      </c>
      <c r="D110" s="176">
        <v>1442.33</v>
      </c>
      <c r="E110" s="176">
        <v>1865.36</v>
      </c>
      <c r="F110" s="176">
        <v>1514.43</v>
      </c>
      <c r="G110" s="176">
        <v>1385.3</v>
      </c>
      <c r="H110" s="176">
        <v>1174.28</v>
      </c>
      <c r="I110" s="50" t="s">
        <v>69</v>
      </c>
      <c r="J110" s="42" t="s">
        <v>66</v>
      </c>
      <c r="L110" s="6"/>
    </row>
    <row r="111" spans="2:13" ht="18" customHeight="1" x14ac:dyDescent="0.35">
      <c r="B111" s="23" t="s">
        <v>319</v>
      </c>
      <c r="C111" s="24" t="s">
        <v>64</v>
      </c>
      <c r="D111" s="172">
        <v>206.2</v>
      </c>
      <c r="E111" s="172">
        <v>290.70999999999998</v>
      </c>
      <c r="F111" s="172">
        <v>217.06</v>
      </c>
      <c r="G111" s="172">
        <v>184.89</v>
      </c>
      <c r="H111" s="172">
        <v>175.26</v>
      </c>
      <c r="I111" s="27" t="s">
        <v>69</v>
      </c>
      <c r="J111" s="48" t="s">
        <v>67</v>
      </c>
      <c r="L111" s="6"/>
    </row>
    <row r="112" spans="2:13" ht="18" customHeight="1" x14ac:dyDescent="0.35">
      <c r="B112" s="37" t="s">
        <v>31</v>
      </c>
      <c r="C112" s="38"/>
      <c r="D112" s="51"/>
      <c r="E112" s="51"/>
      <c r="F112" s="51"/>
      <c r="G112" s="51"/>
      <c r="H112" s="51"/>
      <c r="I112" s="38"/>
      <c r="J112" s="39" t="s">
        <v>47</v>
      </c>
      <c r="L112" s="7"/>
    </row>
    <row r="113" spans="2:13" ht="18" customHeight="1" x14ac:dyDescent="0.35">
      <c r="B113" s="40" t="s">
        <v>313</v>
      </c>
      <c r="C113" s="41" t="s">
        <v>25</v>
      </c>
      <c r="D113" s="176">
        <v>1940.115</v>
      </c>
      <c r="E113" s="176">
        <v>2284.3649999999998</v>
      </c>
      <c r="F113" s="176">
        <v>2193.6370000000002</v>
      </c>
      <c r="G113" s="176">
        <v>2166.9920000000002</v>
      </c>
      <c r="H113" s="176">
        <v>2500.6190000000001</v>
      </c>
      <c r="I113" s="41" t="s">
        <v>25</v>
      </c>
      <c r="J113" s="42" t="s">
        <v>312</v>
      </c>
      <c r="L113" s="8"/>
      <c r="M113" s="8"/>
    </row>
    <row r="114" spans="2:13" ht="18" customHeight="1" x14ac:dyDescent="0.35">
      <c r="B114" s="44" t="s">
        <v>315</v>
      </c>
      <c r="C114" s="45" t="s">
        <v>23</v>
      </c>
      <c r="D114" s="172">
        <v>15791.496999999999</v>
      </c>
      <c r="E114" s="172">
        <v>19526.916000000001</v>
      </c>
      <c r="F114" s="172">
        <v>30418.487000000001</v>
      </c>
      <c r="G114" s="172">
        <v>32652.741000000002</v>
      </c>
      <c r="H114" s="172">
        <v>23780.817999999999</v>
      </c>
      <c r="I114" s="45" t="s">
        <v>25</v>
      </c>
      <c r="J114" s="46" t="s">
        <v>314</v>
      </c>
      <c r="L114" s="7"/>
      <c r="M114" s="7"/>
    </row>
    <row r="115" spans="2:13" ht="18" customHeight="1" x14ac:dyDescent="0.35">
      <c r="B115" s="40" t="s">
        <v>317</v>
      </c>
      <c r="C115" s="41" t="s">
        <v>26</v>
      </c>
      <c r="D115" s="176">
        <v>3023.05226193</v>
      </c>
      <c r="E115" s="176">
        <v>4386.2333471400007</v>
      </c>
      <c r="F115" s="176">
        <v>5053.28901408</v>
      </c>
      <c r="G115" s="176">
        <v>3909.4070130100004</v>
      </c>
      <c r="H115" s="176">
        <v>3420.8141082900001</v>
      </c>
      <c r="I115" s="50" t="s">
        <v>27</v>
      </c>
      <c r="J115" s="42" t="s">
        <v>316</v>
      </c>
      <c r="L115" s="7"/>
      <c r="M115" s="7"/>
    </row>
    <row r="116" spans="2:13" ht="18" customHeight="1" x14ac:dyDescent="0.35">
      <c r="B116" s="23" t="s">
        <v>62</v>
      </c>
      <c r="C116" s="24" t="s">
        <v>63</v>
      </c>
      <c r="D116" s="174">
        <v>8.1394633860256835</v>
      </c>
      <c r="E116" s="174">
        <v>8.5480726801690814</v>
      </c>
      <c r="F116" s="174">
        <v>13.866691252928357</v>
      </c>
      <c r="G116" s="174">
        <v>15.068233292970163</v>
      </c>
      <c r="H116" s="174">
        <v>9.5099725308013738</v>
      </c>
      <c r="I116" s="27" t="s">
        <v>68</v>
      </c>
      <c r="J116" s="48" t="s">
        <v>65</v>
      </c>
    </row>
    <row r="117" spans="2:13" ht="18" customHeight="1" x14ac:dyDescent="0.35">
      <c r="B117" s="40" t="s">
        <v>320</v>
      </c>
      <c r="C117" s="41" t="s">
        <v>64</v>
      </c>
      <c r="D117" s="176">
        <v>1558.18</v>
      </c>
      <c r="E117" s="176">
        <v>1920.11</v>
      </c>
      <c r="F117" s="176">
        <v>2303.61</v>
      </c>
      <c r="G117" s="176">
        <v>1804.07</v>
      </c>
      <c r="H117" s="176">
        <v>1367.99</v>
      </c>
      <c r="I117" s="50" t="s">
        <v>69</v>
      </c>
      <c r="J117" s="42" t="s">
        <v>66</v>
      </c>
    </row>
    <row r="118" spans="2:13" ht="18" customHeight="1" x14ac:dyDescent="0.35">
      <c r="B118" s="23" t="s">
        <v>319</v>
      </c>
      <c r="C118" s="24" t="s">
        <v>64</v>
      </c>
      <c r="D118" s="172">
        <v>191.44</v>
      </c>
      <c r="E118" s="172">
        <v>224.62</v>
      </c>
      <c r="F118" s="172">
        <v>166.13</v>
      </c>
      <c r="G118" s="172">
        <v>119.73</v>
      </c>
      <c r="H118" s="172">
        <v>143.85</v>
      </c>
      <c r="I118" s="27" t="s">
        <v>69</v>
      </c>
      <c r="J118" s="48" t="s">
        <v>67</v>
      </c>
    </row>
    <row r="119" spans="2:13" ht="18" customHeight="1" x14ac:dyDescent="0.35">
      <c r="B119" s="35" t="s">
        <v>36</v>
      </c>
      <c r="C119" s="21"/>
      <c r="D119" s="21"/>
      <c r="E119" s="21"/>
      <c r="F119" s="21"/>
      <c r="G119" s="21"/>
      <c r="H119" s="21"/>
      <c r="I119" s="21"/>
      <c r="J119" s="36" t="s">
        <v>53</v>
      </c>
    </row>
    <row r="120" spans="2:13" ht="18" customHeight="1" x14ac:dyDescent="0.35">
      <c r="B120" s="37" t="s">
        <v>29</v>
      </c>
      <c r="C120" s="38"/>
      <c r="D120" s="38"/>
      <c r="E120" s="38"/>
      <c r="F120" s="38"/>
      <c r="G120" s="38"/>
      <c r="H120" s="38"/>
      <c r="I120" s="38"/>
      <c r="J120" s="39" t="s">
        <v>45</v>
      </c>
    </row>
    <row r="121" spans="2:13" ht="18" customHeight="1" x14ac:dyDescent="0.35">
      <c r="B121" s="40" t="s">
        <v>313</v>
      </c>
      <c r="C121" s="41" t="s">
        <v>25</v>
      </c>
      <c r="D121" s="176">
        <v>4.6779999999999999</v>
      </c>
      <c r="E121" s="176">
        <v>35.491</v>
      </c>
      <c r="F121" s="176">
        <v>14.85</v>
      </c>
      <c r="G121" s="176">
        <v>13.339</v>
      </c>
      <c r="H121" s="176">
        <v>13.618</v>
      </c>
      <c r="I121" s="41" t="s">
        <v>25</v>
      </c>
      <c r="J121" s="42" t="s">
        <v>312</v>
      </c>
      <c r="L121" s="6"/>
    </row>
    <row r="122" spans="2:13" ht="18" customHeight="1" x14ac:dyDescent="0.35">
      <c r="B122" s="44" t="s">
        <v>315</v>
      </c>
      <c r="C122" s="45" t="s">
        <v>23</v>
      </c>
      <c r="D122" s="172">
        <v>141.666</v>
      </c>
      <c r="E122" s="172">
        <v>2090.134</v>
      </c>
      <c r="F122" s="172">
        <v>120.166</v>
      </c>
      <c r="G122" s="172">
        <v>553.04899999999998</v>
      </c>
      <c r="H122" s="172">
        <v>824.46100000000001</v>
      </c>
      <c r="I122" s="45" t="s">
        <v>25</v>
      </c>
      <c r="J122" s="46" t="s">
        <v>314</v>
      </c>
      <c r="L122" s="6"/>
    </row>
    <row r="123" spans="2:13" ht="18" customHeight="1" x14ac:dyDescent="0.35">
      <c r="B123" s="40" t="s">
        <v>317</v>
      </c>
      <c r="C123" s="41" t="s">
        <v>26</v>
      </c>
      <c r="D123" s="176">
        <v>30.32262781</v>
      </c>
      <c r="E123" s="176">
        <v>174.89544988</v>
      </c>
      <c r="F123" s="176">
        <v>45.991851060000002</v>
      </c>
      <c r="G123" s="176">
        <v>53.446222169999999</v>
      </c>
      <c r="H123" s="176">
        <v>69.848317650000013</v>
      </c>
      <c r="I123" s="50" t="s">
        <v>27</v>
      </c>
      <c r="J123" s="42" t="s">
        <v>316</v>
      </c>
      <c r="L123" s="7"/>
    </row>
    <row r="124" spans="2:13" ht="18" customHeight="1" x14ac:dyDescent="0.35">
      <c r="B124" s="23" t="s">
        <v>62</v>
      </c>
      <c r="C124" s="24" t="s">
        <v>63</v>
      </c>
      <c r="D124" s="173">
        <v>30.285653719237537</v>
      </c>
      <c r="E124" s="173">
        <v>58.89204998592178</v>
      </c>
      <c r="F124" s="173">
        <v>8.0919865319865316</v>
      </c>
      <c r="G124" s="173">
        <v>41.46105405202789</v>
      </c>
      <c r="H124" s="173">
        <v>60.542003231017773</v>
      </c>
      <c r="I124" s="27" t="s">
        <v>68</v>
      </c>
      <c r="J124" s="48" t="s">
        <v>65</v>
      </c>
      <c r="L124" s="8"/>
      <c r="M124" s="8"/>
    </row>
    <row r="125" spans="2:13" ht="18" customHeight="1" x14ac:dyDescent="0.35">
      <c r="B125" s="40" t="s">
        <v>320</v>
      </c>
      <c r="C125" s="41" t="s">
        <v>64</v>
      </c>
      <c r="D125" s="176">
        <v>6482.44</v>
      </c>
      <c r="E125" s="176">
        <v>4927.8900000000003</v>
      </c>
      <c r="F125" s="176">
        <v>3097.09</v>
      </c>
      <c r="G125" s="176">
        <v>4006.76</v>
      </c>
      <c r="H125" s="176">
        <v>5129.12</v>
      </c>
      <c r="I125" s="50" t="s">
        <v>69</v>
      </c>
      <c r="J125" s="42" t="s">
        <v>66</v>
      </c>
      <c r="L125" s="7"/>
      <c r="M125" s="7"/>
    </row>
    <row r="126" spans="2:13" ht="18" customHeight="1" x14ac:dyDescent="0.35">
      <c r="B126" s="23" t="s">
        <v>319</v>
      </c>
      <c r="C126" s="24" t="s">
        <v>64</v>
      </c>
      <c r="D126" s="172">
        <v>214.04</v>
      </c>
      <c r="E126" s="172">
        <v>83.68</v>
      </c>
      <c r="F126" s="172">
        <v>382.74</v>
      </c>
      <c r="G126" s="172">
        <v>96.64</v>
      </c>
      <c r="H126" s="172">
        <v>84.72</v>
      </c>
      <c r="I126" s="27" t="s">
        <v>69</v>
      </c>
      <c r="J126" s="48" t="s">
        <v>67</v>
      </c>
      <c r="L126" s="7"/>
      <c r="M126" s="7"/>
    </row>
    <row r="127" spans="2:13" ht="18" customHeight="1" x14ac:dyDescent="0.35">
      <c r="B127" s="37" t="s">
        <v>30</v>
      </c>
      <c r="C127" s="38"/>
      <c r="D127" s="51"/>
      <c r="E127" s="51"/>
      <c r="F127" s="51"/>
      <c r="G127" s="51"/>
      <c r="H127" s="51"/>
      <c r="I127" s="38"/>
      <c r="J127" s="39" t="s">
        <v>46</v>
      </c>
    </row>
    <row r="128" spans="2:13" ht="18" customHeight="1" x14ac:dyDescent="0.35">
      <c r="B128" s="40" t="s">
        <v>313</v>
      </c>
      <c r="C128" s="41" t="s">
        <v>25</v>
      </c>
      <c r="D128" s="176">
        <v>3278.1689999999999</v>
      </c>
      <c r="E128" s="176">
        <v>2487.7020000000002</v>
      </c>
      <c r="F128" s="176">
        <v>2922.8820000000001</v>
      </c>
      <c r="G128" s="176">
        <v>2936.373</v>
      </c>
      <c r="H128" s="176">
        <v>4274.3990000000003</v>
      </c>
      <c r="I128" s="41" t="s">
        <v>25</v>
      </c>
      <c r="J128" s="42" t="s">
        <v>312</v>
      </c>
      <c r="L128" s="53"/>
    </row>
    <row r="129" spans="2:13" ht="18" customHeight="1" x14ac:dyDescent="0.35">
      <c r="B129" s="44" t="s">
        <v>315</v>
      </c>
      <c r="C129" s="45" t="s">
        <v>23</v>
      </c>
      <c r="D129" s="172">
        <v>25875.25</v>
      </c>
      <c r="E129" s="172">
        <v>13020.938</v>
      </c>
      <c r="F129" s="172">
        <v>19679.302</v>
      </c>
      <c r="G129" s="172">
        <v>16839.550999999999</v>
      </c>
      <c r="H129" s="172">
        <v>28307.88</v>
      </c>
      <c r="I129" s="45" t="s">
        <v>25</v>
      </c>
      <c r="J129" s="46" t="s">
        <v>314</v>
      </c>
      <c r="L129" s="53"/>
    </row>
    <row r="130" spans="2:13" ht="18" customHeight="1" x14ac:dyDescent="0.35">
      <c r="B130" s="40" t="s">
        <v>317</v>
      </c>
      <c r="C130" s="41" t="s">
        <v>26</v>
      </c>
      <c r="D130" s="176">
        <v>3772.89186015</v>
      </c>
      <c r="E130" s="176">
        <v>2339.0477823000001</v>
      </c>
      <c r="F130" s="176">
        <v>3715.9460340599999</v>
      </c>
      <c r="G130" s="176">
        <v>2858.2610012399996</v>
      </c>
      <c r="H130" s="176">
        <v>3377.11079677</v>
      </c>
      <c r="I130" s="50" t="s">
        <v>27</v>
      </c>
      <c r="J130" s="42" t="s">
        <v>316</v>
      </c>
    </row>
    <row r="131" spans="2:13" ht="18" customHeight="1" x14ac:dyDescent="0.35">
      <c r="B131" s="23" t="s">
        <v>62</v>
      </c>
      <c r="C131" s="24" t="s">
        <v>63</v>
      </c>
      <c r="D131" s="177">
        <v>7.8932020531549467</v>
      </c>
      <c r="E131" s="177">
        <v>5.2341227634534215</v>
      </c>
      <c r="F131" s="177">
        <v>6.7328417637112956</v>
      </c>
      <c r="G131" s="177">
        <v>5.7348133224219131</v>
      </c>
      <c r="H131" s="177">
        <v>6.6226573607190158</v>
      </c>
      <c r="I131" s="27" t="s">
        <v>68</v>
      </c>
      <c r="J131" s="48" t="s">
        <v>65</v>
      </c>
    </row>
    <row r="132" spans="2:13" ht="18" customHeight="1" x14ac:dyDescent="0.35">
      <c r="B132" s="40" t="s">
        <v>320</v>
      </c>
      <c r="C132" s="41" t="s">
        <v>64</v>
      </c>
      <c r="D132" s="176">
        <v>1150.9100000000001</v>
      </c>
      <c r="E132" s="176">
        <v>940.24</v>
      </c>
      <c r="F132" s="176">
        <v>1271.33</v>
      </c>
      <c r="G132" s="176">
        <v>973.4</v>
      </c>
      <c r="H132" s="176">
        <v>790.08</v>
      </c>
      <c r="I132" s="50" t="s">
        <v>69</v>
      </c>
      <c r="J132" s="42" t="s">
        <v>66</v>
      </c>
      <c r="L132" s="6"/>
    </row>
    <row r="133" spans="2:13" ht="18" customHeight="1" x14ac:dyDescent="0.35">
      <c r="B133" s="23" t="s">
        <v>319</v>
      </c>
      <c r="C133" s="24" t="s">
        <v>64</v>
      </c>
      <c r="D133" s="172">
        <v>145.81</v>
      </c>
      <c r="E133" s="172">
        <v>179.64</v>
      </c>
      <c r="F133" s="172">
        <v>188.83</v>
      </c>
      <c r="G133" s="172">
        <v>169.73</v>
      </c>
      <c r="H133" s="172">
        <v>119.3</v>
      </c>
      <c r="I133" s="27" t="s">
        <v>69</v>
      </c>
      <c r="J133" s="48" t="s">
        <v>67</v>
      </c>
      <c r="L133" s="6"/>
    </row>
    <row r="134" spans="2:13" ht="18" customHeight="1" x14ac:dyDescent="0.35">
      <c r="B134" s="37" t="s">
        <v>31</v>
      </c>
      <c r="C134" s="38"/>
      <c r="D134" s="51"/>
      <c r="E134" s="51"/>
      <c r="F134" s="51"/>
      <c r="G134" s="51"/>
      <c r="H134" s="51"/>
      <c r="I134" s="38"/>
      <c r="J134" s="39" t="s">
        <v>47</v>
      </c>
      <c r="L134" s="7"/>
    </row>
    <row r="135" spans="2:13" ht="18" customHeight="1" x14ac:dyDescent="0.35">
      <c r="B135" s="40" t="s">
        <v>313</v>
      </c>
      <c r="C135" s="41" t="s">
        <v>25</v>
      </c>
      <c r="D135" s="176">
        <v>3282.8470000000002</v>
      </c>
      <c r="E135" s="176">
        <v>2523.1930000000002</v>
      </c>
      <c r="F135" s="176">
        <v>2937.732</v>
      </c>
      <c r="G135" s="176">
        <v>2949.712</v>
      </c>
      <c r="H135" s="176">
        <v>4288.0169999999998</v>
      </c>
      <c r="I135" s="41" t="s">
        <v>25</v>
      </c>
      <c r="J135" s="42" t="s">
        <v>312</v>
      </c>
      <c r="L135" s="8"/>
      <c r="M135" s="8"/>
    </row>
    <row r="136" spans="2:13" ht="18" customHeight="1" x14ac:dyDescent="0.35">
      <c r="B136" s="44" t="s">
        <v>315</v>
      </c>
      <c r="C136" s="45" t="s">
        <v>23</v>
      </c>
      <c r="D136" s="172">
        <v>26016.916000000001</v>
      </c>
      <c r="E136" s="172">
        <v>15111.072</v>
      </c>
      <c r="F136" s="172">
        <v>19799.468000000001</v>
      </c>
      <c r="G136" s="172">
        <v>17392.599999999999</v>
      </c>
      <c r="H136" s="172">
        <v>29132.341</v>
      </c>
      <c r="I136" s="45" t="s">
        <v>25</v>
      </c>
      <c r="J136" s="46" t="s">
        <v>314</v>
      </c>
      <c r="L136" s="7"/>
      <c r="M136" s="7"/>
    </row>
    <row r="137" spans="2:13" ht="18" customHeight="1" x14ac:dyDescent="0.35">
      <c r="B137" s="40" t="s">
        <v>317</v>
      </c>
      <c r="C137" s="41" t="s">
        <v>26</v>
      </c>
      <c r="D137" s="176">
        <v>3803.21448796</v>
      </c>
      <c r="E137" s="176">
        <v>2513.94323218</v>
      </c>
      <c r="F137" s="176">
        <v>3761.9378851199999</v>
      </c>
      <c r="G137" s="176">
        <v>2911.7072234099996</v>
      </c>
      <c r="H137" s="176">
        <v>3446.9591144199999</v>
      </c>
      <c r="I137" s="50" t="s">
        <v>27</v>
      </c>
      <c r="J137" s="42" t="s">
        <v>316</v>
      </c>
      <c r="L137" s="7"/>
      <c r="M137" s="7"/>
    </row>
    <row r="138" spans="2:13" ht="18" customHeight="1" x14ac:dyDescent="0.35">
      <c r="B138" s="23" t="s">
        <v>62</v>
      </c>
      <c r="C138" s="24" t="s">
        <v>63</v>
      </c>
      <c r="D138" s="174">
        <v>7.9251085620577966</v>
      </c>
      <c r="E138" s="174">
        <v>5.9888688292186076</v>
      </c>
      <c r="F138" s="174">
        <v>6.7397121316716433</v>
      </c>
      <c r="G138" s="174">
        <v>5.8963722560032981</v>
      </c>
      <c r="H138" s="174">
        <v>6.7938958730807268</v>
      </c>
      <c r="I138" s="27" t="s">
        <v>68</v>
      </c>
      <c r="J138" s="48" t="s">
        <v>65</v>
      </c>
    </row>
    <row r="139" spans="2:13" ht="18" customHeight="1" x14ac:dyDescent="0.35">
      <c r="B139" s="40" t="s">
        <v>320</v>
      </c>
      <c r="C139" s="41" t="s">
        <v>64</v>
      </c>
      <c r="D139" s="176">
        <v>1158.51</v>
      </c>
      <c r="E139" s="176">
        <v>996.33</v>
      </c>
      <c r="F139" s="176">
        <v>1280.56</v>
      </c>
      <c r="G139" s="176">
        <v>987.12</v>
      </c>
      <c r="H139" s="176">
        <v>803.86</v>
      </c>
      <c r="I139" s="50" t="s">
        <v>69</v>
      </c>
      <c r="J139" s="42" t="s">
        <v>66</v>
      </c>
    </row>
    <row r="140" spans="2:13" ht="18" customHeight="1" x14ac:dyDescent="0.35">
      <c r="B140" s="23" t="s">
        <v>319</v>
      </c>
      <c r="C140" s="24" t="s">
        <v>64</v>
      </c>
      <c r="D140" s="172">
        <v>146.18</v>
      </c>
      <c r="E140" s="172">
        <v>166.36</v>
      </c>
      <c r="F140" s="172">
        <v>190</v>
      </c>
      <c r="G140" s="172">
        <v>167.41</v>
      </c>
      <c r="H140" s="172">
        <v>118.32</v>
      </c>
      <c r="I140" s="27" t="s">
        <v>69</v>
      </c>
      <c r="J140" s="48" t="s">
        <v>67</v>
      </c>
    </row>
    <row r="141" spans="2:13" ht="18" customHeight="1" x14ac:dyDescent="0.35">
      <c r="B141" s="35" t="s">
        <v>37</v>
      </c>
      <c r="C141" s="21"/>
      <c r="D141" s="21"/>
      <c r="E141" s="21"/>
      <c r="F141" s="21"/>
      <c r="G141" s="21"/>
      <c r="H141" s="21"/>
      <c r="I141" s="21"/>
      <c r="J141" s="36" t="s">
        <v>54</v>
      </c>
    </row>
    <row r="142" spans="2:13" ht="18" customHeight="1" x14ac:dyDescent="0.35">
      <c r="B142" s="37" t="s">
        <v>29</v>
      </c>
      <c r="C142" s="38"/>
      <c r="D142" s="38"/>
      <c r="E142" s="38"/>
      <c r="F142" s="38"/>
      <c r="G142" s="38"/>
      <c r="H142" s="38"/>
      <c r="I142" s="38"/>
      <c r="J142" s="39" t="s">
        <v>45</v>
      </c>
    </row>
    <row r="143" spans="2:13" ht="18" customHeight="1" x14ac:dyDescent="0.35">
      <c r="B143" s="40" t="s">
        <v>313</v>
      </c>
      <c r="C143" s="41" t="s">
        <v>25</v>
      </c>
      <c r="D143" s="176">
        <v>17.821000000000002</v>
      </c>
      <c r="E143" s="176">
        <v>52.423999999999999</v>
      </c>
      <c r="F143" s="176">
        <v>196.708</v>
      </c>
      <c r="G143" s="176">
        <v>330.98099999999999</v>
      </c>
      <c r="H143" s="176">
        <v>458.49900000000002</v>
      </c>
      <c r="I143" s="41" t="s">
        <v>25</v>
      </c>
      <c r="J143" s="42" t="s">
        <v>312</v>
      </c>
      <c r="L143" s="6"/>
    </row>
    <row r="144" spans="2:13" ht="18" customHeight="1" x14ac:dyDescent="0.35">
      <c r="B144" s="44" t="s">
        <v>315</v>
      </c>
      <c r="C144" s="45" t="s">
        <v>23</v>
      </c>
      <c r="D144" s="172">
        <v>84.16</v>
      </c>
      <c r="E144" s="172">
        <v>886.67</v>
      </c>
      <c r="F144" s="172">
        <v>2342.9560000000001</v>
      </c>
      <c r="G144" s="172">
        <v>4460.558</v>
      </c>
      <c r="H144" s="172">
        <v>11542.683000000001</v>
      </c>
      <c r="I144" s="45" t="s">
        <v>25</v>
      </c>
      <c r="J144" s="46" t="s">
        <v>314</v>
      </c>
      <c r="L144" s="6"/>
    </row>
    <row r="145" spans="2:13" ht="18" customHeight="1" x14ac:dyDescent="0.35">
      <c r="B145" s="40" t="s">
        <v>317</v>
      </c>
      <c r="C145" s="41" t="s">
        <v>26</v>
      </c>
      <c r="D145" s="176">
        <v>73.305953430000002</v>
      </c>
      <c r="E145" s="176">
        <v>170.82374759000001</v>
      </c>
      <c r="F145" s="176">
        <v>437.53049154000001</v>
      </c>
      <c r="G145" s="176">
        <v>767.94503351000003</v>
      </c>
      <c r="H145" s="176">
        <v>1279.63160242</v>
      </c>
      <c r="I145" s="50" t="s">
        <v>27</v>
      </c>
      <c r="J145" s="42" t="s">
        <v>316</v>
      </c>
      <c r="L145" s="7"/>
    </row>
    <row r="146" spans="2:13" ht="18" customHeight="1" x14ac:dyDescent="0.35">
      <c r="B146" s="23" t="s">
        <v>62</v>
      </c>
      <c r="C146" s="24" t="s">
        <v>63</v>
      </c>
      <c r="D146" s="173">
        <v>4.7224577907482095</v>
      </c>
      <c r="E146" s="173">
        <v>16.913423485606007</v>
      </c>
      <c r="F146" s="173">
        <v>11.910832299652277</v>
      </c>
      <c r="G146" s="173">
        <v>13.476779633876264</v>
      </c>
      <c r="H146" s="173">
        <v>25.174936041299983</v>
      </c>
      <c r="I146" s="27" t="s">
        <v>68</v>
      </c>
      <c r="J146" s="48" t="s">
        <v>65</v>
      </c>
      <c r="L146" s="8"/>
      <c r="M146" s="8"/>
    </row>
    <row r="147" spans="2:13" ht="18" customHeight="1" x14ac:dyDescent="0.35">
      <c r="B147" s="40" t="s">
        <v>320</v>
      </c>
      <c r="C147" s="41" t="s">
        <v>64</v>
      </c>
      <c r="D147" s="176">
        <v>4113.41</v>
      </c>
      <c r="E147" s="176">
        <v>3258.5</v>
      </c>
      <c r="F147" s="176">
        <v>2224.2600000000002</v>
      </c>
      <c r="G147" s="176">
        <v>2320.21</v>
      </c>
      <c r="H147" s="176">
        <v>2790.91</v>
      </c>
      <c r="I147" s="50" t="s">
        <v>69</v>
      </c>
      <c r="J147" s="42" t="s">
        <v>66</v>
      </c>
      <c r="L147" s="7"/>
      <c r="M147" s="7"/>
    </row>
    <row r="148" spans="2:13" ht="18" customHeight="1" x14ac:dyDescent="0.35">
      <c r="B148" s="23" t="s">
        <v>319</v>
      </c>
      <c r="C148" s="24" t="s">
        <v>64</v>
      </c>
      <c r="D148" s="172">
        <v>871.03</v>
      </c>
      <c r="E148" s="172">
        <v>192.66</v>
      </c>
      <c r="F148" s="172">
        <v>186.74</v>
      </c>
      <c r="G148" s="172">
        <v>172.16</v>
      </c>
      <c r="H148" s="172">
        <v>110.86</v>
      </c>
      <c r="I148" s="27" t="s">
        <v>69</v>
      </c>
      <c r="J148" s="48" t="s">
        <v>67</v>
      </c>
      <c r="L148" s="7"/>
      <c r="M148" s="7"/>
    </row>
    <row r="149" spans="2:13" ht="18" customHeight="1" x14ac:dyDescent="0.35">
      <c r="B149" s="37" t="s">
        <v>30</v>
      </c>
      <c r="C149" s="38"/>
      <c r="D149" s="51"/>
      <c r="E149" s="51"/>
      <c r="F149" s="51"/>
      <c r="G149" s="51"/>
      <c r="H149" s="51"/>
      <c r="I149" s="38"/>
      <c r="J149" s="39" t="s">
        <v>46</v>
      </c>
    </row>
    <row r="150" spans="2:13" ht="18" customHeight="1" x14ac:dyDescent="0.35">
      <c r="B150" s="40" t="s">
        <v>313</v>
      </c>
      <c r="C150" s="41" t="s">
        <v>25</v>
      </c>
      <c r="D150" s="176">
        <v>848.21100000000001</v>
      </c>
      <c r="E150" s="176">
        <v>1252.5039999999999</v>
      </c>
      <c r="F150" s="176">
        <v>1138.877</v>
      </c>
      <c r="G150" s="176">
        <v>1159.3969999999999</v>
      </c>
      <c r="H150" s="176">
        <v>1602.8330000000001</v>
      </c>
      <c r="I150" s="41" t="s">
        <v>25</v>
      </c>
      <c r="J150" s="42" t="s">
        <v>312</v>
      </c>
      <c r="L150" s="53"/>
    </row>
    <row r="151" spans="2:13" ht="18" customHeight="1" x14ac:dyDescent="0.35">
      <c r="B151" s="44" t="s">
        <v>315</v>
      </c>
      <c r="C151" s="45" t="s">
        <v>23</v>
      </c>
      <c r="D151" s="172">
        <v>4347.049</v>
      </c>
      <c r="E151" s="172">
        <v>5941.44</v>
      </c>
      <c r="F151" s="172">
        <v>8624.6299999999992</v>
      </c>
      <c r="G151" s="172">
        <v>9587.4629999999997</v>
      </c>
      <c r="H151" s="172">
        <v>12248.49</v>
      </c>
      <c r="I151" s="45" t="s">
        <v>25</v>
      </c>
      <c r="J151" s="46" t="s">
        <v>314</v>
      </c>
      <c r="L151" s="53"/>
    </row>
    <row r="152" spans="2:13" ht="18" customHeight="1" x14ac:dyDescent="0.35">
      <c r="B152" s="40" t="s">
        <v>317</v>
      </c>
      <c r="C152" s="41" t="s">
        <v>26</v>
      </c>
      <c r="D152" s="176">
        <v>1618.63433719</v>
      </c>
      <c r="E152" s="176">
        <v>2620.7181193699998</v>
      </c>
      <c r="F152" s="176">
        <v>1683.1474478099999</v>
      </c>
      <c r="G152" s="176">
        <v>1571.2079692100001</v>
      </c>
      <c r="H152" s="176">
        <v>2068.9018111700002</v>
      </c>
      <c r="I152" s="50" t="s">
        <v>27</v>
      </c>
      <c r="J152" s="42" t="s">
        <v>316</v>
      </c>
    </row>
    <row r="153" spans="2:13" ht="18" customHeight="1" x14ac:dyDescent="0.35">
      <c r="B153" s="23" t="s">
        <v>62</v>
      </c>
      <c r="C153" s="24" t="s">
        <v>63</v>
      </c>
      <c r="D153" s="173">
        <v>5.1249618536553356</v>
      </c>
      <c r="E153" s="173">
        <v>4.7436492500038874</v>
      </c>
      <c r="F153" s="173">
        <v>7.5729249076063523</v>
      </c>
      <c r="G153" s="173">
        <v>8.2693529481273451</v>
      </c>
      <c r="H153" s="173">
        <v>7.6417755312000688</v>
      </c>
      <c r="I153" s="27" t="s">
        <v>68</v>
      </c>
      <c r="J153" s="48" t="s">
        <v>65</v>
      </c>
    </row>
    <row r="154" spans="2:13" ht="18" customHeight="1" x14ac:dyDescent="0.35">
      <c r="B154" s="40" t="s">
        <v>320</v>
      </c>
      <c r="C154" s="41" t="s">
        <v>64</v>
      </c>
      <c r="D154" s="176">
        <v>1908.29</v>
      </c>
      <c r="E154" s="176">
        <v>2092.38</v>
      </c>
      <c r="F154" s="176">
        <v>1477.9</v>
      </c>
      <c r="G154" s="176">
        <v>1355.19</v>
      </c>
      <c r="H154" s="176">
        <v>1290.78</v>
      </c>
      <c r="I154" s="50" t="s">
        <v>69</v>
      </c>
      <c r="J154" s="42" t="s">
        <v>66</v>
      </c>
      <c r="L154" s="6"/>
    </row>
    <row r="155" spans="2:13" ht="18" customHeight="1" x14ac:dyDescent="0.35">
      <c r="B155" s="23" t="s">
        <v>319</v>
      </c>
      <c r="C155" s="24" t="s">
        <v>64</v>
      </c>
      <c r="D155" s="172">
        <v>372.35</v>
      </c>
      <c r="E155" s="172">
        <v>441.09</v>
      </c>
      <c r="F155" s="172">
        <v>195.16</v>
      </c>
      <c r="G155" s="172">
        <v>163.88</v>
      </c>
      <c r="H155" s="172">
        <v>168.91</v>
      </c>
      <c r="I155" s="27" t="s">
        <v>69</v>
      </c>
      <c r="J155" s="48" t="s">
        <v>67</v>
      </c>
      <c r="L155" s="6"/>
    </row>
    <row r="156" spans="2:13" ht="18" customHeight="1" x14ac:dyDescent="0.35">
      <c r="B156" s="37" t="s">
        <v>31</v>
      </c>
      <c r="C156" s="38"/>
      <c r="D156" s="51"/>
      <c r="E156" s="51"/>
      <c r="F156" s="51"/>
      <c r="G156" s="51"/>
      <c r="H156" s="51"/>
      <c r="I156" s="38"/>
      <c r="J156" s="39" t="s">
        <v>47</v>
      </c>
      <c r="L156" s="7"/>
    </row>
    <row r="157" spans="2:13" ht="18" customHeight="1" x14ac:dyDescent="0.35">
      <c r="B157" s="40" t="s">
        <v>313</v>
      </c>
      <c r="C157" s="41" t="s">
        <v>25</v>
      </c>
      <c r="D157" s="176">
        <v>866.03200000000004</v>
      </c>
      <c r="E157" s="176">
        <v>1304.9280000000001</v>
      </c>
      <c r="F157" s="176">
        <v>1335.585</v>
      </c>
      <c r="G157" s="176">
        <v>1490.3779999999999</v>
      </c>
      <c r="H157" s="176">
        <v>2061.3319999999999</v>
      </c>
      <c r="I157" s="41" t="s">
        <v>25</v>
      </c>
      <c r="J157" s="42" t="s">
        <v>312</v>
      </c>
      <c r="L157" s="8"/>
      <c r="M157" s="8"/>
    </row>
    <row r="158" spans="2:13" ht="18" customHeight="1" x14ac:dyDescent="0.35">
      <c r="B158" s="44" t="s">
        <v>315</v>
      </c>
      <c r="C158" s="45" t="s">
        <v>23</v>
      </c>
      <c r="D158" s="172">
        <v>4431.2089999999998</v>
      </c>
      <c r="E158" s="172">
        <v>6828.11</v>
      </c>
      <c r="F158" s="172">
        <v>10967.585999999999</v>
      </c>
      <c r="G158" s="172">
        <v>14048.021000000001</v>
      </c>
      <c r="H158" s="172">
        <v>23791.172999999999</v>
      </c>
      <c r="I158" s="45" t="s">
        <v>25</v>
      </c>
      <c r="J158" s="46" t="s">
        <v>314</v>
      </c>
      <c r="L158" s="7"/>
      <c r="M158" s="7"/>
    </row>
    <row r="159" spans="2:13" ht="18" customHeight="1" x14ac:dyDescent="0.35">
      <c r="B159" s="40" t="s">
        <v>317</v>
      </c>
      <c r="C159" s="41" t="s">
        <v>26</v>
      </c>
      <c r="D159" s="176">
        <v>1691.9402906199998</v>
      </c>
      <c r="E159" s="176">
        <v>2791.5418669599999</v>
      </c>
      <c r="F159" s="176">
        <v>2120.6779393500001</v>
      </c>
      <c r="G159" s="176">
        <v>2339.1530027199997</v>
      </c>
      <c r="H159" s="176">
        <v>3348.5334135900002</v>
      </c>
      <c r="I159" s="50" t="s">
        <v>27</v>
      </c>
      <c r="J159" s="42" t="s">
        <v>316</v>
      </c>
      <c r="L159" s="7"/>
      <c r="M159" s="7"/>
    </row>
    <row r="160" spans="2:13" ht="18" customHeight="1" x14ac:dyDescent="0.35">
      <c r="B160" s="23" t="s">
        <v>62</v>
      </c>
      <c r="C160" s="24" t="s">
        <v>63</v>
      </c>
      <c r="D160" s="174">
        <v>5.1166791335573674</v>
      </c>
      <c r="E160" s="174">
        <v>5.232556505227171</v>
      </c>
      <c r="F160" s="174">
        <v>8.2118217859589624</v>
      </c>
      <c r="G160" s="174">
        <v>9.4258107674697289</v>
      </c>
      <c r="H160" s="174">
        <v>11.541650253331341</v>
      </c>
      <c r="I160" s="27" t="s">
        <v>68</v>
      </c>
      <c r="J160" s="48" t="s">
        <v>65</v>
      </c>
    </row>
    <row r="161" spans="2:13" ht="18" customHeight="1" x14ac:dyDescent="0.35">
      <c r="B161" s="40" t="s">
        <v>320</v>
      </c>
      <c r="C161" s="41" t="s">
        <v>64</v>
      </c>
      <c r="D161" s="176">
        <v>1953.67</v>
      </c>
      <c r="E161" s="176">
        <v>2139.23</v>
      </c>
      <c r="F161" s="176">
        <v>1587.83</v>
      </c>
      <c r="G161" s="176">
        <v>1569.5</v>
      </c>
      <c r="H161" s="176">
        <v>1624.45</v>
      </c>
      <c r="I161" s="50" t="s">
        <v>69</v>
      </c>
      <c r="J161" s="42" t="s">
        <v>66</v>
      </c>
    </row>
    <row r="162" spans="2:13" ht="18" customHeight="1" x14ac:dyDescent="0.35">
      <c r="B162" s="23" t="s">
        <v>319</v>
      </c>
      <c r="C162" s="24" t="s">
        <v>64</v>
      </c>
      <c r="D162" s="172">
        <v>381.82</v>
      </c>
      <c r="E162" s="172">
        <v>408.83</v>
      </c>
      <c r="F162" s="172">
        <v>193.36</v>
      </c>
      <c r="G162" s="172">
        <v>166.51</v>
      </c>
      <c r="H162" s="172">
        <v>140.75</v>
      </c>
      <c r="I162" s="27" t="s">
        <v>69</v>
      </c>
      <c r="J162" s="48" t="s">
        <v>67</v>
      </c>
    </row>
    <row r="163" spans="2:13" ht="18" customHeight="1" x14ac:dyDescent="0.35">
      <c r="B163" s="35" t="s">
        <v>38</v>
      </c>
      <c r="C163" s="21"/>
      <c r="D163" s="21"/>
      <c r="E163" s="21"/>
      <c r="F163" s="21"/>
      <c r="G163" s="21"/>
      <c r="H163" s="21"/>
      <c r="I163" s="21"/>
      <c r="J163" s="36" t="s">
        <v>55</v>
      </c>
    </row>
    <row r="164" spans="2:13" ht="18" customHeight="1" x14ac:dyDescent="0.35">
      <c r="B164" s="37" t="s">
        <v>29</v>
      </c>
      <c r="C164" s="38"/>
      <c r="D164" s="38"/>
      <c r="E164" s="38"/>
      <c r="F164" s="38"/>
      <c r="G164" s="38"/>
      <c r="H164" s="38"/>
      <c r="I164" s="38"/>
      <c r="J164" s="39" t="s">
        <v>45</v>
      </c>
    </row>
    <row r="165" spans="2:13" ht="18" customHeight="1" x14ac:dyDescent="0.35">
      <c r="B165" s="40" t="s">
        <v>313</v>
      </c>
      <c r="C165" s="41" t="s">
        <v>25</v>
      </c>
      <c r="D165" s="176">
        <v>19.39</v>
      </c>
      <c r="E165" s="176">
        <v>120.863</v>
      </c>
      <c r="F165" s="176">
        <v>321.06799999999998</v>
      </c>
      <c r="G165" s="176">
        <v>438.71899999999999</v>
      </c>
      <c r="H165" s="176">
        <v>754.21400000000006</v>
      </c>
      <c r="I165" s="41" t="s">
        <v>25</v>
      </c>
      <c r="J165" s="42" t="s">
        <v>312</v>
      </c>
      <c r="L165" s="6"/>
    </row>
    <row r="166" spans="2:13" ht="18" customHeight="1" x14ac:dyDescent="0.35">
      <c r="B166" s="44" t="s">
        <v>315</v>
      </c>
      <c r="C166" s="45" t="s">
        <v>23</v>
      </c>
      <c r="D166" s="172">
        <v>252.834</v>
      </c>
      <c r="E166" s="172">
        <v>2484.047</v>
      </c>
      <c r="F166" s="172">
        <v>4666.576</v>
      </c>
      <c r="G166" s="172">
        <v>7860.0860000000002</v>
      </c>
      <c r="H166" s="172">
        <v>20691.329000000002</v>
      </c>
      <c r="I166" s="45" t="s">
        <v>25</v>
      </c>
      <c r="J166" s="46" t="s">
        <v>314</v>
      </c>
      <c r="L166" s="6"/>
    </row>
    <row r="167" spans="2:13" ht="18" customHeight="1" x14ac:dyDescent="0.35">
      <c r="B167" s="40" t="s">
        <v>317</v>
      </c>
      <c r="C167" s="41" t="s">
        <v>26</v>
      </c>
      <c r="D167" s="176">
        <v>72.365386099999995</v>
      </c>
      <c r="E167" s="176">
        <v>661.90726061999999</v>
      </c>
      <c r="F167" s="176">
        <v>1337.4797315200001</v>
      </c>
      <c r="G167" s="176">
        <v>1842.16976391</v>
      </c>
      <c r="H167" s="176">
        <v>3633.9473785800001</v>
      </c>
      <c r="I167" s="50" t="s">
        <v>27</v>
      </c>
      <c r="J167" s="42" t="s">
        <v>316</v>
      </c>
      <c r="L167" s="7"/>
    </row>
    <row r="168" spans="2:13" ht="18" customHeight="1" x14ac:dyDescent="0.35">
      <c r="B168" s="23" t="s">
        <v>62</v>
      </c>
      <c r="C168" s="24" t="s">
        <v>63</v>
      </c>
      <c r="D168" s="173">
        <v>13.039403773785372</v>
      </c>
      <c r="E168" s="173">
        <v>20.552613729490826</v>
      </c>
      <c r="F168" s="173">
        <v>14.534540969514246</v>
      </c>
      <c r="G168" s="173">
        <v>17.915991785174565</v>
      </c>
      <c r="H168" s="173">
        <v>27.434294510576574</v>
      </c>
      <c r="I168" s="27" t="s">
        <v>68</v>
      </c>
      <c r="J168" s="48" t="s">
        <v>65</v>
      </c>
      <c r="L168" s="8"/>
      <c r="M168" s="8"/>
    </row>
    <row r="169" spans="2:13" ht="18" customHeight="1" x14ac:dyDescent="0.35">
      <c r="B169" s="40" t="s">
        <v>320</v>
      </c>
      <c r="C169" s="41" t="s">
        <v>64</v>
      </c>
      <c r="D169" s="176">
        <v>3732.09</v>
      </c>
      <c r="E169" s="176">
        <v>5476.52</v>
      </c>
      <c r="F169" s="176">
        <v>4165.72</v>
      </c>
      <c r="G169" s="176">
        <v>4198.97</v>
      </c>
      <c r="H169" s="176">
        <v>4818.1899999999996</v>
      </c>
      <c r="I169" s="50" t="s">
        <v>69</v>
      </c>
      <c r="J169" s="42" t="s">
        <v>66</v>
      </c>
      <c r="L169" s="7"/>
      <c r="M169" s="7"/>
    </row>
    <row r="170" spans="2:13" ht="18" customHeight="1" x14ac:dyDescent="0.35">
      <c r="B170" s="23" t="s">
        <v>319</v>
      </c>
      <c r="C170" s="24" t="s">
        <v>64</v>
      </c>
      <c r="D170" s="172">
        <v>286.22000000000003</v>
      </c>
      <c r="E170" s="172">
        <v>266.45999999999998</v>
      </c>
      <c r="F170" s="172">
        <v>286.61</v>
      </c>
      <c r="G170" s="172">
        <v>234.37</v>
      </c>
      <c r="H170" s="172">
        <v>175.63</v>
      </c>
      <c r="I170" s="27" t="s">
        <v>69</v>
      </c>
      <c r="J170" s="48" t="s">
        <v>67</v>
      </c>
      <c r="L170" s="7"/>
      <c r="M170" s="7"/>
    </row>
    <row r="171" spans="2:13" ht="18" customHeight="1" x14ac:dyDescent="0.35">
      <c r="B171" s="37" t="s">
        <v>30</v>
      </c>
      <c r="C171" s="38"/>
      <c r="D171" s="51"/>
      <c r="E171" s="51"/>
      <c r="F171" s="51"/>
      <c r="G171" s="51"/>
      <c r="H171" s="51"/>
      <c r="I171" s="38"/>
      <c r="J171" s="39" t="s">
        <v>46</v>
      </c>
    </row>
    <row r="172" spans="2:13" ht="18" customHeight="1" x14ac:dyDescent="0.35">
      <c r="B172" s="40" t="s">
        <v>313</v>
      </c>
      <c r="C172" s="41" t="s">
        <v>25</v>
      </c>
      <c r="D172" s="176">
        <v>4364.8339999999998</v>
      </c>
      <c r="E172" s="176">
        <v>6220.5739999999996</v>
      </c>
      <c r="F172" s="176">
        <v>6003.2</v>
      </c>
      <c r="G172" s="176">
        <v>6720.8879999999999</v>
      </c>
      <c r="H172" s="176">
        <v>6500.9549999999999</v>
      </c>
      <c r="I172" s="41" t="s">
        <v>25</v>
      </c>
      <c r="J172" s="42" t="s">
        <v>312</v>
      </c>
      <c r="L172" s="53"/>
    </row>
    <row r="173" spans="2:13" ht="18" customHeight="1" x14ac:dyDescent="0.35">
      <c r="B173" s="44" t="s">
        <v>315</v>
      </c>
      <c r="C173" s="45" t="s">
        <v>23</v>
      </c>
      <c r="D173" s="172">
        <v>18414.655999999999</v>
      </c>
      <c r="E173" s="172">
        <v>24481.463</v>
      </c>
      <c r="F173" s="172">
        <v>27438.171999999999</v>
      </c>
      <c r="G173" s="172">
        <v>34643.940999999999</v>
      </c>
      <c r="H173" s="172">
        <v>39488.826000000001</v>
      </c>
      <c r="I173" s="45" t="s">
        <v>25</v>
      </c>
      <c r="J173" s="46" t="s">
        <v>314</v>
      </c>
      <c r="L173" s="53"/>
    </row>
    <row r="174" spans="2:13" ht="18" customHeight="1" x14ac:dyDescent="0.35">
      <c r="B174" s="40" t="s">
        <v>317</v>
      </c>
      <c r="C174" s="41" t="s">
        <v>26</v>
      </c>
      <c r="D174" s="176">
        <v>5716.9382437900003</v>
      </c>
      <c r="E174" s="176">
        <v>7571.5984451699996</v>
      </c>
      <c r="F174" s="176">
        <v>6265.3635477500002</v>
      </c>
      <c r="G174" s="176">
        <v>7474.6438655000002</v>
      </c>
      <c r="H174" s="176">
        <v>9015.413270340001</v>
      </c>
      <c r="I174" s="50" t="s">
        <v>27</v>
      </c>
      <c r="J174" s="42" t="s">
        <v>316</v>
      </c>
    </row>
    <row r="175" spans="2:13" ht="18" customHeight="1" x14ac:dyDescent="0.35">
      <c r="B175" s="23" t="s">
        <v>62</v>
      </c>
      <c r="C175" s="24" t="s">
        <v>63</v>
      </c>
      <c r="D175" s="173">
        <v>4.2188675105767866</v>
      </c>
      <c r="E175" s="173">
        <v>3.9355633821038101</v>
      </c>
      <c r="F175" s="173">
        <v>4.5705910181236673</v>
      </c>
      <c r="G175" s="173">
        <v>5.154667210642403</v>
      </c>
      <c r="H175" s="173">
        <v>6.0743115434578456</v>
      </c>
      <c r="I175" s="27" t="s">
        <v>68</v>
      </c>
      <c r="J175" s="48" t="s">
        <v>65</v>
      </c>
    </row>
    <row r="176" spans="2:13" ht="18" customHeight="1" x14ac:dyDescent="0.35">
      <c r="B176" s="40" t="s">
        <v>320</v>
      </c>
      <c r="C176" s="41" t="s">
        <v>64</v>
      </c>
      <c r="D176" s="176">
        <v>1309.77</v>
      </c>
      <c r="E176" s="176">
        <v>1217.19</v>
      </c>
      <c r="F176" s="176">
        <v>1043.67</v>
      </c>
      <c r="G176" s="176">
        <v>1112.1500000000001</v>
      </c>
      <c r="H176" s="176">
        <v>1386.78</v>
      </c>
      <c r="I176" s="50" t="s">
        <v>69</v>
      </c>
      <c r="J176" s="42" t="s">
        <v>66</v>
      </c>
      <c r="L176" s="6"/>
    </row>
    <row r="177" spans="2:13" ht="18" customHeight="1" x14ac:dyDescent="0.35">
      <c r="B177" s="23" t="s">
        <v>319</v>
      </c>
      <c r="C177" s="24" t="s">
        <v>64</v>
      </c>
      <c r="D177" s="172">
        <v>310.45999999999998</v>
      </c>
      <c r="E177" s="172">
        <v>309.27999999999997</v>
      </c>
      <c r="F177" s="172">
        <v>228.34</v>
      </c>
      <c r="G177" s="172">
        <v>215.76</v>
      </c>
      <c r="H177" s="172">
        <v>228.3</v>
      </c>
      <c r="I177" s="27" t="s">
        <v>69</v>
      </c>
      <c r="J177" s="48" t="s">
        <v>67</v>
      </c>
      <c r="L177" s="6"/>
    </row>
    <row r="178" spans="2:13" ht="18" customHeight="1" x14ac:dyDescent="0.35">
      <c r="B178" s="37" t="s">
        <v>31</v>
      </c>
      <c r="C178" s="38"/>
      <c r="D178" s="51"/>
      <c r="E178" s="51"/>
      <c r="F178" s="51"/>
      <c r="G178" s="51"/>
      <c r="H178" s="51"/>
      <c r="I178" s="38"/>
      <c r="J178" s="39" t="s">
        <v>47</v>
      </c>
      <c r="L178" s="7"/>
    </row>
    <row r="179" spans="2:13" ht="18" customHeight="1" x14ac:dyDescent="0.35">
      <c r="B179" s="40" t="s">
        <v>313</v>
      </c>
      <c r="C179" s="41" t="s">
        <v>25</v>
      </c>
      <c r="D179" s="176">
        <v>4384.2240000000002</v>
      </c>
      <c r="E179" s="176">
        <v>6341.4369999999999</v>
      </c>
      <c r="F179" s="176">
        <v>6324.268</v>
      </c>
      <c r="G179" s="176">
        <v>7159.607</v>
      </c>
      <c r="H179" s="176">
        <v>7255.1689999999999</v>
      </c>
      <c r="I179" s="41" t="s">
        <v>25</v>
      </c>
      <c r="J179" s="42" t="s">
        <v>312</v>
      </c>
      <c r="L179" s="8"/>
      <c r="M179" s="8"/>
    </row>
    <row r="180" spans="2:13" ht="18" customHeight="1" x14ac:dyDescent="0.35">
      <c r="B180" s="44" t="s">
        <v>315</v>
      </c>
      <c r="C180" s="45" t="s">
        <v>23</v>
      </c>
      <c r="D180" s="172">
        <v>18667.491000000002</v>
      </c>
      <c r="E180" s="172">
        <v>26965.510999999999</v>
      </c>
      <c r="F180" s="172">
        <v>32104.748</v>
      </c>
      <c r="G180" s="172">
        <v>42504.027000000002</v>
      </c>
      <c r="H180" s="172">
        <v>60180.154999999999</v>
      </c>
      <c r="I180" s="45" t="s">
        <v>25</v>
      </c>
      <c r="J180" s="46" t="s">
        <v>314</v>
      </c>
      <c r="L180" s="7"/>
      <c r="M180" s="7"/>
    </row>
    <row r="181" spans="2:13" ht="18" customHeight="1" x14ac:dyDescent="0.35">
      <c r="B181" s="40" t="s">
        <v>317</v>
      </c>
      <c r="C181" s="41" t="s">
        <v>26</v>
      </c>
      <c r="D181" s="176">
        <v>5789.3036298900006</v>
      </c>
      <c r="E181" s="176">
        <v>8233.5057057899994</v>
      </c>
      <c r="F181" s="176">
        <v>7602.8432792700005</v>
      </c>
      <c r="G181" s="176">
        <v>9316.8136294100004</v>
      </c>
      <c r="H181" s="176">
        <v>12649.360648919999</v>
      </c>
      <c r="I181" s="50" t="s">
        <v>27</v>
      </c>
      <c r="J181" s="42" t="s">
        <v>316</v>
      </c>
      <c r="L181" s="7"/>
      <c r="M181" s="7"/>
    </row>
    <row r="182" spans="2:13" ht="18" customHeight="1" x14ac:dyDescent="0.35">
      <c r="B182" s="23" t="s">
        <v>62</v>
      </c>
      <c r="C182" s="24" t="s">
        <v>63</v>
      </c>
      <c r="D182" s="174">
        <v>4.257877939047761</v>
      </c>
      <c r="E182" s="174">
        <v>4.2522714141747064</v>
      </c>
      <c r="F182" s="174">
        <v>5.0764369884388199</v>
      </c>
      <c r="G182" s="174">
        <v>5.9366424721356914</v>
      </c>
      <c r="H182" s="174">
        <v>8.2947971301564447</v>
      </c>
      <c r="I182" s="27" t="s">
        <v>68</v>
      </c>
      <c r="J182" s="48" t="s">
        <v>65</v>
      </c>
    </row>
    <row r="183" spans="2:13" ht="18" customHeight="1" x14ac:dyDescent="0.35">
      <c r="B183" s="40" t="s">
        <v>320</v>
      </c>
      <c r="C183" s="41" t="s">
        <v>64</v>
      </c>
      <c r="D183" s="176">
        <v>1320.49</v>
      </c>
      <c r="E183" s="176">
        <v>1298.3699999999999</v>
      </c>
      <c r="F183" s="176">
        <v>1202.17</v>
      </c>
      <c r="G183" s="176">
        <v>1301.3</v>
      </c>
      <c r="H183" s="176">
        <v>1743.5</v>
      </c>
      <c r="I183" s="50" t="s">
        <v>69</v>
      </c>
      <c r="J183" s="42" t="s">
        <v>66</v>
      </c>
    </row>
    <row r="184" spans="2:13" ht="18" customHeight="1" x14ac:dyDescent="0.35">
      <c r="B184" s="23" t="s">
        <v>319</v>
      </c>
      <c r="C184" s="24" t="s">
        <v>64</v>
      </c>
      <c r="D184" s="172">
        <v>310.13</v>
      </c>
      <c r="E184" s="172">
        <v>305.33</v>
      </c>
      <c r="F184" s="172">
        <v>236.81</v>
      </c>
      <c r="G184" s="172">
        <v>219.2</v>
      </c>
      <c r="H184" s="172">
        <v>210.19</v>
      </c>
      <c r="I184" s="27" t="s">
        <v>69</v>
      </c>
      <c r="J184" s="48" t="s">
        <v>67</v>
      </c>
    </row>
    <row r="185" spans="2:13" ht="18" customHeight="1" x14ac:dyDescent="0.35">
      <c r="B185" s="35" t="s">
        <v>39</v>
      </c>
      <c r="C185" s="21"/>
      <c r="D185" s="21"/>
      <c r="E185" s="21"/>
      <c r="F185" s="21"/>
      <c r="G185" s="21"/>
      <c r="H185" s="21"/>
      <c r="I185" s="21"/>
      <c r="J185" s="36" t="s">
        <v>56</v>
      </c>
    </row>
    <row r="186" spans="2:13" ht="18" customHeight="1" x14ac:dyDescent="0.35">
      <c r="B186" s="37" t="s">
        <v>29</v>
      </c>
      <c r="C186" s="38"/>
      <c r="D186" s="38"/>
      <c r="E186" s="38"/>
      <c r="F186" s="38"/>
      <c r="G186" s="38"/>
      <c r="H186" s="38"/>
      <c r="I186" s="38"/>
      <c r="J186" s="39" t="s">
        <v>45</v>
      </c>
    </row>
    <row r="187" spans="2:13" ht="18" customHeight="1" x14ac:dyDescent="0.35">
      <c r="B187" s="40" t="s">
        <v>313</v>
      </c>
      <c r="C187" s="41" t="s">
        <v>25</v>
      </c>
      <c r="D187" s="176">
        <v>688.72299999999996</v>
      </c>
      <c r="E187" s="176">
        <v>9412.2929999999997</v>
      </c>
      <c r="F187" s="176">
        <v>17014.574000000001</v>
      </c>
      <c r="G187" s="176">
        <v>19570.388999999999</v>
      </c>
      <c r="H187" s="176">
        <v>20427.855</v>
      </c>
      <c r="I187" s="41" t="s">
        <v>25</v>
      </c>
      <c r="J187" s="42" t="s">
        <v>312</v>
      </c>
      <c r="L187" s="6"/>
    </row>
    <row r="188" spans="2:13" ht="18" customHeight="1" x14ac:dyDescent="0.35">
      <c r="B188" s="44" t="s">
        <v>315</v>
      </c>
      <c r="C188" s="45" t="s">
        <v>23</v>
      </c>
      <c r="D188" s="172">
        <v>5891.558</v>
      </c>
      <c r="E188" s="172">
        <v>188810.505</v>
      </c>
      <c r="F188" s="172">
        <v>316400.27600000001</v>
      </c>
      <c r="G188" s="172">
        <v>430796.19900000002</v>
      </c>
      <c r="H188" s="172">
        <v>406996.34399999998</v>
      </c>
      <c r="I188" s="45" t="s">
        <v>25</v>
      </c>
      <c r="J188" s="46" t="s">
        <v>314</v>
      </c>
      <c r="L188" s="6"/>
    </row>
    <row r="189" spans="2:13" ht="18" customHeight="1" x14ac:dyDescent="0.35">
      <c r="B189" s="40" t="s">
        <v>317</v>
      </c>
      <c r="C189" s="41" t="s">
        <v>26</v>
      </c>
      <c r="D189" s="176">
        <v>2963.8704277399997</v>
      </c>
      <c r="E189" s="176">
        <v>74445.408365100011</v>
      </c>
      <c r="F189" s="176">
        <v>111487.23856185999</v>
      </c>
      <c r="G189" s="176">
        <v>140770.26644895002</v>
      </c>
      <c r="H189" s="176">
        <v>149394.81539117999</v>
      </c>
      <c r="I189" s="50" t="s">
        <v>27</v>
      </c>
      <c r="J189" s="42" t="s">
        <v>316</v>
      </c>
      <c r="L189" s="7"/>
    </row>
    <row r="190" spans="2:13" ht="18" customHeight="1" x14ac:dyDescent="0.35">
      <c r="B190" s="23" t="s">
        <v>62</v>
      </c>
      <c r="C190" s="24" t="s">
        <v>63</v>
      </c>
      <c r="D190" s="173">
        <v>8.5543166455463897</v>
      </c>
      <c r="E190" s="173">
        <v>20.059991148485107</v>
      </c>
      <c r="F190" s="173">
        <v>18.595838837928003</v>
      </c>
      <c r="G190" s="173">
        <v>22.012653861913527</v>
      </c>
      <c r="H190" s="173">
        <v>19.923596677184168</v>
      </c>
      <c r="I190" s="27" t="s">
        <v>68</v>
      </c>
      <c r="J190" s="48" t="s">
        <v>65</v>
      </c>
      <c r="L190" s="8"/>
    </row>
    <row r="191" spans="2:13" ht="18" customHeight="1" x14ac:dyDescent="0.35">
      <c r="B191" s="40" t="s">
        <v>320</v>
      </c>
      <c r="C191" s="41" t="s">
        <v>64</v>
      </c>
      <c r="D191" s="176">
        <v>4303.43</v>
      </c>
      <c r="E191" s="176">
        <v>7909.38</v>
      </c>
      <c r="F191" s="176">
        <v>6552.46</v>
      </c>
      <c r="G191" s="176">
        <v>7193.02</v>
      </c>
      <c r="H191" s="176">
        <v>7313.29</v>
      </c>
      <c r="I191" s="50" t="s">
        <v>69</v>
      </c>
      <c r="J191" s="42" t="s">
        <v>66</v>
      </c>
      <c r="L191" s="7"/>
    </row>
    <row r="192" spans="2:13" ht="18" customHeight="1" x14ac:dyDescent="0.35">
      <c r="B192" s="23" t="s">
        <v>319</v>
      </c>
      <c r="C192" s="24" t="s">
        <v>64</v>
      </c>
      <c r="D192" s="172">
        <v>503.07</v>
      </c>
      <c r="E192" s="172">
        <v>394.29</v>
      </c>
      <c r="F192" s="172">
        <v>352.36</v>
      </c>
      <c r="G192" s="172">
        <v>326.77</v>
      </c>
      <c r="H192" s="172">
        <v>367.07</v>
      </c>
      <c r="I192" s="27" t="s">
        <v>69</v>
      </c>
      <c r="J192" s="48" t="s">
        <v>67</v>
      </c>
      <c r="L192" s="7"/>
    </row>
    <row r="193" spans="2:13" ht="18" customHeight="1" x14ac:dyDescent="0.35">
      <c r="B193" s="37" t="s">
        <v>30</v>
      </c>
      <c r="C193" s="38"/>
      <c r="D193" s="51"/>
      <c r="E193" s="51"/>
      <c r="F193" s="51"/>
      <c r="G193" s="51"/>
      <c r="H193" s="51"/>
      <c r="I193" s="38"/>
      <c r="J193" s="39" t="s">
        <v>46</v>
      </c>
    </row>
    <row r="194" spans="2:13" ht="18" customHeight="1" x14ac:dyDescent="0.35">
      <c r="B194" s="40" t="s">
        <v>313</v>
      </c>
      <c r="C194" s="41" t="s">
        <v>25</v>
      </c>
      <c r="D194" s="176">
        <v>18475.506000000001</v>
      </c>
      <c r="E194" s="176">
        <v>22663.370999999999</v>
      </c>
      <c r="F194" s="176">
        <v>22625.01</v>
      </c>
      <c r="G194" s="176">
        <v>23487.119999999999</v>
      </c>
      <c r="H194" s="176">
        <v>28636.256000000001</v>
      </c>
      <c r="I194" s="41" t="s">
        <v>25</v>
      </c>
      <c r="J194" s="42" t="s">
        <v>312</v>
      </c>
      <c r="L194" s="6"/>
    </row>
    <row r="195" spans="2:13" ht="18" customHeight="1" x14ac:dyDescent="0.35">
      <c r="B195" s="44" t="s">
        <v>315</v>
      </c>
      <c r="C195" s="45" t="s">
        <v>23</v>
      </c>
      <c r="D195" s="172">
        <v>85255.773000000001</v>
      </c>
      <c r="E195" s="172">
        <v>99555.960999999996</v>
      </c>
      <c r="F195" s="172">
        <v>113133.51</v>
      </c>
      <c r="G195" s="172">
        <v>130615.38400000001</v>
      </c>
      <c r="H195" s="172">
        <v>163017.66899999999</v>
      </c>
      <c r="I195" s="45" t="s">
        <v>25</v>
      </c>
      <c r="J195" s="46" t="s">
        <v>314</v>
      </c>
      <c r="L195" s="6"/>
    </row>
    <row r="196" spans="2:13" ht="18" customHeight="1" x14ac:dyDescent="0.35">
      <c r="B196" s="40" t="s">
        <v>317</v>
      </c>
      <c r="C196" s="41" t="s">
        <v>26</v>
      </c>
      <c r="D196" s="176">
        <v>31003.038195720001</v>
      </c>
      <c r="E196" s="176">
        <v>30647.244143709999</v>
      </c>
      <c r="F196" s="176">
        <v>29941.071959659999</v>
      </c>
      <c r="G196" s="176">
        <v>30656.786192029998</v>
      </c>
      <c r="H196" s="176">
        <v>38615.455034089995</v>
      </c>
      <c r="I196" s="50" t="s">
        <v>27</v>
      </c>
      <c r="J196" s="42" t="s">
        <v>316</v>
      </c>
      <c r="L196" s="7"/>
    </row>
    <row r="197" spans="2:13" ht="18" customHeight="1" x14ac:dyDescent="0.35">
      <c r="B197" s="23" t="s">
        <v>62</v>
      </c>
      <c r="C197" s="24" t="s">
        <v>63</v>
      </c>
      <c r="D197" s="174">
        <v>4.6145297854512481</v>
      </c>
      <c r="E197" s="174">
        <v>4.3928134555451628</v>
      </c>
      <c r="F197" s="174">
        <v>5.0003739224866637</v>
      </c>
      <c r="G197" s="174">
        <v>5.5611494299854556</v>
      </c>
      <c r="H197" s="174">
        <v>5.6927019020922289</v>
      </c>
      <c r="I197" s="27" t="s">
        <v>68</v>
      </c>
      <c r="J197" s="48" t="s">
        <v>65</v>
      </c>
      <c r="L197" s="8"/>
      <c r="M197" s="8"/>
    </row>
    <row r="198" spans="2:13" ht="18" customHeight="1" x14ac:dyDescent="0.35">
      <c r="B198" s="40" t="s">
        <v>320</v>
      </c>
      <c r="C198" s="41" t="s">
        <v>64</v>
      </c>
      <c r="D198" s="176">
        <v>1678.06</v>
      </c>
      <c r="E198" s="176">
        <v>1352.28</v>
      </c>
      <c r="F198" s="176">
        <v>1323.36</v>
      </c>
      <c r="G198" s="176">
        <v>1305.26</v>
      </c>
      <c r="H198" s="176">
        <v>1348.48</v>
      </c>
      <c r="I198" s="50" t="s">
        <v>69</v>
      </c>
      <c r="J198" s="42" t="s">
        <v>66</v>
      </c>
      <c r="L198" s="7"/>
      <c r="M198" s="7"/>
    </row>
    <row r="199" spans="2:13" ht="18" customHeight="1" x14ac:dyDescent="0.35">
      <c r="B199" s="23" t="s">
        <v>319</v>
      </c>
      <c r="C199" s="24" t="s">
        <v>64</v>
      </c>
      <c r="D199" s="172">
        <v>363.65</v>
      </c>
      <c r="E199" s="172">
        <v>307.83999999999997</v>
      </c>
      <c r="F199" s="172">
        <v>264.64999999999998</v>
      </c>
      <c r="G199" s="172">
        <v>234.71</v>
      </c>
      <c r="H199" s="172">
        <v>236.88</v>
      </c>
      <c r="I199" s="27" t="s">
        <v>69</v>
      </c>
      <c r="J199" s="48" t="s">
        <v>67</v>
      </c>
      <c r="L199" s="7"/>
      <c r="M199" s="7"/>
    </row>
    <row r="200" spans="2:13" ht="18" customHeight="1" x14ac:dyDescent="0.35">
      <c r="B200" s="37" t="s">
        <v>31</v>
      </c>
      <c r="C200" s="38"/>
      <c r="D200" s="51"/>
      <c r="E200" s="51"/>
      <c r="F200" s="51"/>
      <c r="G200" s="51"/>
      <c r="H200" s="51"/>
      <c r="I200" s="38"/>
      <c r="J200" s="39" t="s">
        <v>47</v>
      </c>
    </row>
    <row r="201" spans="2:13" ht="18" customHeight="1" x14ac:dyDescent="0.35">
      <c r="B201" s="40" t="s">
        <v>313</v>
      </c>
      <c r="C201" s="41" t="s">
        <v>25</v>
      </c>
      <c r="D201" s="176">
        <v>19164.228999999999</v>
      </c>
      <c r="E201" s="176">
        <v>32075.664000000001</v>
      </c>
      <c r="F201" s="176">
        <v>39639.584000000003</v>
      </c>
      <c r="G201" s="176">
        <v>43057.508999999998</v>
      </c>
      <c r="H201" s="176">
        <v>49064.110999999997</v>
      </c>
      <c r="I201" s="41" t="s">
        <v>25</v>
      </c>
      <c r="J201" s="42" t="s">
        <v>312</v>
      </c>
      <c r="L201" s="53"/>
    </row>
    <row r="202" spans="2:13" ht="18" customHeight="1" x14ac:dyDescent="0.35">
      <c r="B202" s="44" t="s">
        <v>315</v>
      </c>
      <c r="C202" s="45" t="s">
        <v>23</v>
      </c>
      <c r="D202" s="172">
        <v>91147.331000000006</v>
      </c>
      <c r="E202" s="172">
        <v>288366.46600000001</v>
      </c>
      <c r="F202" s="172">
        <v>429533.78600000002</v>
      </c>
      <c r="G202" s="172">
        <v>561411.58299999998</v>
      </c>
      <c r="H202" s="172">
        <v>570014.01300000004</v>
      </c>
      <c r="I202" s="45" t="s">
        <v>25</v>
      </c>
      <c r="J202" s="46" t="s">
        <v>314</v>
      </c>
      <c r="L202" s="53"/>
    </row>
    <row r="203" spans="2:13" ht="18" customHeight="1" x14ac:dyDescent="0.35">
      <c r="B203" s="40" t="s">
        <v>317</v>
      </c>
      <c r="C203" s="41" t="s">
        <v>26</v>
      </c>
      <c r="D203" s="176">
        <v>33966.908623459996</v>
      </c>
      <c r="E203" s="176">
        <v>105092.65250881</v>
      </c>
      <c r="F203" s="176">
        <v>141428.31052151998</v>
      </c>
      <c r="G203" s="176">
        <v>171427.05264098002</v>
      </c>
      <c r="H203" s="176">
        <v>188010.27042526999</v>
      </c>
      <c r="I203" s="50" t="s">
        <v>27</v>
      </c>
      <c r="J203" s="42" t="s">
        <v>316</v>
      </c>
    </row>
    <row r="204" spans="2:13" ht="18" customHeight="1" x14ac:dyDescent="0.35">
      <c r="B204" s="23" t="s">
        <v>62</v>
      </c>
      <c r="C204" s="24" t="s">
        <v>63</v>
      </c>
      <c r="D204" s="172">
        <v>4.7561177044405332</v>
      </c>
      <c r="E204" s="172">
        <v>8.9901948816968531</v>
      </c>
      <c r="F204" s="172">
        <v>10.835981174777213</v>
      </c>
      <c r="G204" s="172">
        <v>13.038645198912924</v>
      </c>
      <c r="H204" s="172">
        <v>11.617738533976494</v>
      </c>
      <c r="I204" s="27" t="s">
        <v>68</v>
      </c>
      <c r="J204" s="48" t="s">
        <v>65</v>
      </c>
    </row>
    <row r="205" spans="2:13" ht="18" customHeight="1" x14ac:dyDescent="0.35">
      <c r="B205" s="40" t="s">
        <v>320</v>
      </c>
      <c r="C205" s="41" t="s">
        <v>64</v>
      </c>
      <c r="D205" s="176">
        <v>1772.41</v>
      </c>
      <c r="E205" s="176">
        <v>3276.4</v>
      </c>
      <c r="F205" s="176">
        <v>3567.86</v>
      </c>
      <c r="G205" s="176">
        <v>3981.35</v>
      </c>
      <c r="H205" s="176">
        <v>3831.93</v>
      </c>
      <c r="I205" s="50" t="s">
        <v>69</v>
      </c>
      <c r="J205" s="42" t="s">
        <v>66</v>
      </c>
      <c r="L205" s="6"/>
    </row>
    <row r="206" spans="2:13" ht="18" customHeight="1" x14ac:dyDescent="0.35">
      <c r="B206" s="23" t="s">
        <v>319</v>
      </c>
      <c r="C206" s="24" t="s">
        <v>64</v>
      </c>
      <c r="D206" s="172">
        <v>372.66</v>
      </c>
      <c r="E206" s="172">
        <v>364.44</v>
      </c>
      <c r="F206" s="172">
        <v>329.26</v>
      </c>
      <c r="G206" s="172">
        <v>305.35000000000002</v>
      </c>
      <c r="H206" s="172">
        <v>329.83</v>
      </c>
      <c r="I206" s="27" t="s">
        <v>69</v>
      </c>
      <c r="J206" s="48" t="s">
        <v>67</v>
      </c>
      <c r="L206" s="6"/>
    </row>
    <row r="207" spans="2:13" ht="18" customHeight="1" x14ac:dyDescent="0.35">
      <c r="B207" s="35" t="s">
        <v>40</v>
      </c>
      <c r="C207" s="21"/>
      <c r="D207" s="21"/>
      <c r="E207" s="21"/>
      <c r="F207" s="21"/>
      <c r="G207" s="21"/>
      <c r="H207" s="21"/>
      <c r="I207" s="21"/>
      <c r="J207" s="36" t="s">
        <v>57</v>
      </c>
      <c r="L207" s="7"/>
    </row>
    <row r="208" spans="2:13" ht="18" customHeight="1" x14ac:dyDescent="0.35">
      <c r="B208" s="37" t="s">
        <v>29</v>
      </c>
      <c r="C208" s="38"/>
      <c r="D208" s="38"/>
      <c r="E208" s="38"/>
      <c r="F208" s="38"/>
      <c r="G208" s="38"/>
      <c r="H208" s="38"/>
      <c r="I208" s="38"/>
      <c r="J208" s="39" t="s">
        <v>45</v>
      </c>
      <c r="L208" s="8"/>
      <c r="M208" s="8"/>
    </row>
    <row r="209" spans="2:13" ht="18" customHeight="1" x14ac:dyDescent="0.35">
      <c r="B209" s="40" t="s">
        <v>313</v>
      </c>
      <c r="C209" s="41" t="s">
        <v>25</v>
      </c>
      <c r="D209" s="176">
        <v>4.0720000000000001</v>
      </c>
      <c r="E209" s="176">
        <v>7.1379999999999999</v>
      </c>
      <c r="F209" s="176">
        <v>17.39</v>
      </c>
      <c r="G209" s="176">
        <v>24.347000000000001</v>
      </c>
      <c r="H209" s="176">
        <v>81.566000000000003</v>
      </c>
      <c r="I209" s="41" t="s">
        <v>25</v>
      </c>
      <c r="J209" s="42" t="s">
        <v>312</v>
      </c>
      <c r="L209" s="6"/>
      <c r="M209" s="7"/>
    </row>
    <row r="210" spans="2:13" ht="18" customHeight="1" x14ac:dyDescent="0.35">
      <c r="B210" s="44" t="s">
        <v>315</v>
      </c>
      <c r="C210" s="45" t="s">
        <v>23</v>
      </c>
      <c r="D210" s="172">
        <v>78.02</v>
      </c>
      <c r="E210" s="172">
        <v>99.843000000000004</v>
      </c>
      <c r="F210" s="172">
        <v>163.536</v>
      </c>
      <c r="G210" s="172">
        <v>1051.2429999999999</v>
      </c>
      <c r="H210" s="172">
        <v>3760.8</v>
      </c>
      <c r="I210" s="45" t="s">
        <v>25</v>
      </c>
      <c r="J210" s="46" t="s">
        <v>314</v>
      </c>
      <c r="L210" s="6"/>
      <c r="M210" s="7"/>
    </row>
    <row r="211" spans="2:13" ht="18" customHeight="1" x14ac:dyDescent="0.35">
      <c r="B211" s="40" t="s">
        <v>317</v>
      </c>
      <c r="C211" s="41" t="s">
        <v>26</v>
      </c>
      <c r="D211" s="176">
        <v>19.310817119999999</v>
      </c>
      <c r="E211" s="176">
        <v>21.213384559999998</v>
      </c>
      <c r="F211" s="176">
        <v>42.210583390000004</v>
      </c>
      <c r="G211" s="176">
        <v>56.220975079999995</v>
      </c>
      <c r="H211" s="176">
        <v>216.82836788</v>
      </c>
      <c r="I211" s="50" t="s">
        <v>27</v>
      </c>
      <c r="J211" s="42" t="s">
        <v>316</v>
      </c>
      <c r="L211" s="7"/>
    </row>
    <row r="212" spans="2:13" ht="18" customHeight="1" x14ac:dyDescent="0.35">
      <c r="B212" s="23" t="s">
        <v>62</v>
      </c>
      <c r="C212" s="24" t="s">
        <v>63</v>
      </c>
      <c r="D212" s="173">
        <v>19.162014206303489</v>
      </c>
      <c r="E212" s="173">
        <v>13.987401736926964</v>
      </c>
      <c r="F212" s="173">
        <v>9.4040253018976419</v>
      </c>
      <c r="G212" s="173">
        <v>43.177516737175011</v>
      </c>
      <c r="H212" s="173">
        <v>46.107446730255255</v>
      </c>
      <c r="I212" s="27" t="s">
        <v>68</v>
      </c>
      <c r="J212" s="48" t="s">
        <v>65</v>
      </c>
      <c r="L212" s="8"/>
    </row>
    <row r="213" spans="2:13" ht="18" customHeight="1" x14ac:dyDescent="0.35">
      <c r="B213" s="40" t="s">
        <v>320</v>
      </c>
      <c r="C213" s="41" t="s">
        <v>64</v>
      </c>
      <c r="D213" s="176">
        <v>4742.78</v>
      </c>
      <c r="E213" s="176">
        <v>2971.86</v>
      </c>
      <c r="F213" s="176">
        <v>2427.29</v>
      </c>
      <c r="G213" s="176">
        <v>2309.15</v>
      </c>
      <c r="H213" s="176">
        <v>2658.32</v>
      </c>
      <c r="I213" s="50" t="s">
        <v>69</v>
      </c>
      <c r="J213" s="42" t="s">
        <v>66</v>
      </c>
      <c r="L213" s="7"/>
    </row>
    <row r="214" spans="2:13" ht="18" customHeight="1" x14ac:dyDescent="0.35">
      <c r="B214" s="23" t="s">
        <v>319</v>
      </c>
      <c r="C214" s="24" t="s">
        <v>64</v>
      </c>
      <c r="D214" s="172">
        <v>247.51</v>
      </c>
      <c r="E214" s="172">
        <v>212.47</v>
      </c>
      <c r="F214" s="172">
        <v>258.11</v>
      </c>
      <c r="G214" s="172">
        <v>53.48</v>
      </c>
      <c r="H214" s="172">
        <v>57.65</v>
      </c>
      <c r="I214" s="27" t="s">
        <v>69</v>
      </c>
      <c r="J214" s="48" t="s">
        <v>67</v>
      </c>
      <c r="L214" s="7"/>
    </row>
    <row r="215" spans="2:13" ht="18" customHeight="1" x14ac:dyDescent="0.35">
      <c r="B215" s="37" t="s">
        <v>30</v>
      </c>
      <c r="C215" s="38"/>
      <c r="D215" s="51"/>
      <c r="E215" s="51"/>
      <c r="F215" s="51"/>
      <c r="G215" s="51"/>
      <c r="H215" s="51"/>
      <c r="I215" s="38"/>
      <c r="J215" s="39" t="s">
        <v>46</v>
      </c>
    </row>
    <row r="216" spans="2:13" ht="18" customHeight="1" x14ac:dyDescent="0.35">
      <c r="B216" s="40" t="s">
        <v>313</v>
      </c>
      <c r="C216" s="41" t="s">
        <v>25</v>
      </c>
      <c r="D216" s="176">
        <v>863.62900000000002</v>
      </c>
      <c r="E216" s="176">
        <v>1109.519</v>
      </c>
      <c r="F216" s="176">
        <v>1160.482</v>
      </c>
      <c r="G216" s="176">
        <v>1259.0119999999999</v>
      </c>
      <c r="H216" s="176">
        <v>1291.7460000000001</v>
      </c>
      <c r="I216" s="41" t="s">
        <v>25</v>
      </c>
      <c r="J216" s="42" t="s">
        <v>312</v>
      </c>
      <c r="L216" s="6"/>
    </row>
    <row r="217" spans="2:13" ht="18" customHeight="1" x14ac:dyDescent="0.35">
      <c r="B217" s="44" t="s">
        <v>315</v>
      </c>
      <c r="C217" s="45" t="s">
        <v>23</v>
      </c>
      <c r="D217" s="172">
        <v>8769.5300000000007</v>
      </c>
      <c r="E217" s="172">
        <v>8809.92</v>
      </c>
      <c r="F217" s="172">
        <v>10032.762000000001</v>
      </c>
      <c r="G217" s="172">
        <v>11352.196</v>
      </c>
      <c r="H217" s="172">
        <v>16311.225</v>
      </c>
      <c r="I217" s="45" t="s">
        <v>25</v>
      </c>
      <c r="J217" s="46" t="s">
        <v>314</v>
      </c>
      <c r="L217" s="6"/>
    </row>
    <row r="218" spans="2:13" ht="18" customHeight="1" x14ac:dyDescent="0.35">
      <c r="B218" s="40" t="s">
        <v>317</v>
      </c>
      <c r="C218" s="41" t="s">
        <v>26</v>
      </c>
      <c r="D218" s="176">
        <v>2098.3508102800001</v>
      </c>
      <c r="E218" s="176">
        <v>1943.2841753099999</v>
      </c>
      <c r="F218" s="176">
        <v>2041.2912774599999</v>
      </c>
      <c r="G218" s="176">
        <v>2115.48024076</v>
      </c>
      <c r="H218" s="176">
        <v>1795.3797956199999</v>
      </c>
      <c r="I218" s="50" t="s">
        <v>27</v>
      </c>
      <c r="J218" s="42" t="s">
        <v>316</v>
      </c>
      <c r="L218" s="7"/>
    </row>
    <row r="219" spans="2:13" ht="18" customHeight="1" x14ac:dyDescent="0.35">
      <c r="B219" s="23" t="s">
        <v>62</v>
      </c>
      <c r="C219" s="24" t="s">
        <v>63</v>
      </c>
      <c r="D219" s="173">
        <v>10.154278672140082</v>
      </c>
      <c r="E219" s="173">
        <v>7.9403060955956928</v>
      </c>
      <c r="F219" s="173">
        <v>8.6453404705975618</v>
      </c>
      <c r="G219" s="173">
        <v>9.0167496417826047</v>
      </c>
      <c r="H219" s="173">
        <v>12.627269602537961</v>
      </c>
      <c r="I219" s="27" t="s">
        <v>68</v>
      </c>
      <c r="J219" s="48" t="s">
        <v>65</v>
      </c>
      <c r="L219" s="8"/>
      <c r="M219" s="8"/>
    </row>
    <row r="220" spans="2:13" ht="18" customHeight="1" x14ac:dyDescent="0.35">
      <c r="B220" s="40" t="s">
        <v>320</v>
      </c>
      <c r="C220" s="41" t="s">
        <v>64</v>
      </c>
      <c r="D220" s="176">
        <v>2429.69</v>
      </c>
      <c r="E220" s="176">
        <v>1751.47</v>
      </c>
      <c r="F220" s="176">
        <v>1759</v>
      </c>
      <c r="G220" s="176">
        <v>1680.27</v>
      </c>
      <c r="H220" s="176">
        <v>1389.89</v>
      </c>
      <c r="I220" s="50" t="s">
        <v>69</v>
      </c>
      <c r="J220" s="42" t="s">
        <v>66</v>
      </c>
      <c r="L220" s="7"/>
      <c r="M220" s="7"/>
    </row>
    <row r="221" spans="2:13" ht="18" customHeight="1" x14ac:dyDescent="0.35">
      <c r="B221" s="23" t="s">
        <v>319</v>
      </c>
      <c r="C221" s="24" t="s">
        <v>64</v>
      </c>
      <c r="D221" s="172">
        <v>239.28</v>
      </c>
      <c r="E221" s="172">
        <v>220.58</v>
      </c>
      <c r="F221" s="172">
        <v>203.46</v>
      </c>
      <c r="G221" s="172">
        <v>186.35</v>
      </c>
      <c r="H221" s="172">
        <v>110.07</v>
      </c>
      <c r="I221" s="27" t="s">
        <v>69</v>
      </c>
      <c r="J221" s="48" t="s">
        <v>67</v>
      </c>
      <c r="L221" s="7"/>
      <c r="M221" s="7"/>
    </row>
    <row r="222" spans="2:13" ht="18" customHeight="1" x14ac:dyDescent="0.35">
      <c r="B222" s="37" t="s">
        <v>31</v>
      </c>
      <c r="C222" s="38"/>
      <c r="D222" s="51"/>
      <c r="E222" s="51"/>
      <c r="F222" s="51"/>
      <c r="G222" s="51"/>
      <c r="H222" s="51"/>
      <c r="I222" s="38"/>
      <c r="J222" s="39" t="s">
        <v>47</v>
      </c>
    </row>
    <row r="223" spans="2:13" ht="18" customHeight="1" x14ac:dyDescent="0.35">
      <c r="B223" s="40" t="s">
        <v>313</v>
      </c>
      <c r="C223" s="41" t="s">
        <v>25</v>
      </c>
      <c r="D223" s="176">
        <v>867.70100000000002</v>
      </c>
      <c r="E223" s="176">
        <v>1116.6569999999999</v>
      </c>
      <c r="F223" s="176">
        <v>1177.8720000000001</v>
      </c>
      <c r="G223" s="176">
        <v>1283.3589999999999</v>
      </c>
      <c r="H223" s="176">
        <v>1373.3119999999999</v>
      </c>
      <c r="I223" s="41" t="s">
        <v>25</v>
      </c>
      <c r="J223" s="42" t="s">
        <v>312</v>
      </c>
      <c r="L223" s="53"/>
    </row>
    <row r="224" spans="2:13" ht="18" customHeight="1" x14ac:dyDescent="0.35">
      <c r="B224" s="44" t="s">
        <v>315</v>
      </c>
      <c r="C224" s="45" t="s">
        <v>23</v>
      </c>
      <c r="D224" s="172">
        <v>8847.5499999999993</v>
      </c>
      <c r="E224" s="172">
        <v>8909.7639999999992</v>
      </c>
      <c r="F224" s="172">
        <v>10196.298000000001</v>
      </c>
      <c r="G224" s="172">
        <v>12403.439</v>
      </c>
      <c r="H224" s="172">
        <v>20072.025000000001</v>
      </c>
      <c r="I224" s="45" t="s">
        <v>25</v>
      </c>
      <c r="J224" s="46" t="s">
        <v>314</v>
      </c>
      <c r="L224" s="53"/>
    </row>
    <row r="225" spans="2:13" ht="18" customHeight="1" x14ac:dyDescent="0.35">
      <c r="B225" s="40" t="s">
        <v>317</v>
      </c>
      <c r="C225" s="41" t="s">
        <v>26</v>
      </c>
      <c r="D225" s="176">
        <v>2117.6616274000003</v>
      </c>
      <c r="E225" s="176">
        <v>1964.4975598699998</v>
      </c>
      <c r="F225" s="176">
        <v>2083.50186085</v>
      </c>
      <c r="G225" s="176">
        <v>2171.7012158400003</v>
      </c>
      <c r="H225" s="176">
        <v>2012.2081635</v>
      </c>
      <c r="I225" s="50" t="s">
        <v>27</v>
      </c>
      <c r="J225" s="42" t="s">
        <v>316</v>
      </c>
    </row>
    <row r="226" spans="2:13" ht="18" customHeight="1" x14ac:dyDescent="0.35">
      <c r="B226" s="23" t="s">
        <v>62</v>
      </c>
      <c r="C226" s="24" t="s">
        <v>63</v>
      </c>
      <c r="D226" s="174">
        <v>10.196546813015644</v>
      </c>
      <c r="E226" s="174">
        <v>7.9789613394684888</v>
      </c>
      <c r="F226" s="174">
        <v>8.656541627613187</v>
      </c>
      <c r="G226" s="174">
        <v>9.6648241061152795</v>
      </c>
      <c r="H226" s="174">
        <v>14.615779225696709</v>
      </c>
      <c r="I226" s="27" t="s">
        <v>68</v>
      </c>
      <c r="J226" s="48" t="s">
        <v>65</v>
      </c>
    </row>
    <row r="227" spans="2:13" ht="18" customHeight="1" x14ac:dyDescent="0.35">
      <c r="B227" s="40" t="s">
        <v>320</v>
      </c>
      <c r="C227" s="41" t="s">
        <v>64</v>
      </c>
      <c r="D227" s="176">
        <v>2440.54</v>
      </c>
      <c r="E227" s="176">
        <v>1759.27</v>
      </c>
      <c r="F227" s="176">
        <v>1768.87</v>
      </c>
      <c r="G227" s="176">
        <v>1692.2</v>
      </c>
      <c r="H227" s="176">
        <v>1465.22</v>
      </c>
      <c r="I227" s="50" t="s">
        <v>69</v>
      </c>
      <c r="J227" s="42" t="s">
        <v>66</v>
      </c>
      <c r="L227" s="6"/>
    </row>
    <row r="228" spans="2:13" ht="18" customHeight="1" x14ac:dyDescent="0.35">
      <c r="B228" s="23" t="s">
        <v>319</v>
      </c>
      <c r="C228" s="24" t="s">
        <v>64</v>
      </c>
      <c r="D228" s="172">
        <v>239.35</v>
      </c>
      <c r="E228" s="172">
        <v>220.49</v>
      </c>
      <c r="F228" s="172">
        <v>204.34</v>
      </c>
      <c r="G228" s="172">
        <v>175.09</v>
      </c>
      <c r="H228" s="172">
        <v>100.25</v>
      </c>
      <c r="I228" s="27" t="s">
        <v>69</v>
      </c>
      <c r="J228" s="48" t="s">
        <v>67</v>
      </c>
      <c r="L228" s="6"/>
    </row>
    <row r="229" spans="2:13" ht="18" customHeight="1" x14ac:dyDescent="0.35">
      <c r="B229" s="35" t="s">
        <v>41</v>
      </c>
      <c r="C229" s="21"/>
      <c r="D229" s="21"/>
      <c r="E229" s="21"/>
      <c r="F229" s="21"/>
      <c r="G229" s="21"/>
      <c r="H229" s="21"/>
      <c r="I229" s="21"/>
      <c r="J229" s="36" t="s">
        <v>58</v>
      </c>
      <c r="L229" s="7"/>
    </row>
    <row r="230" spans="2:13" ht="18" customHeight="1" x14ac:dyDescent="0.35">
      <c r="B230" s="37" t="s">
        <v>29</v>
      </c>
      <c r="C230" s="38"/>
      <c r="D230" s="38"/>
      <c r="E230" s="38"/>
      <c r="F230" s="38"/>
      <c r="G230" s="38"/>
      <c r="H230" s="38"/>
      <c r="I230" s="38"/>
      <c r="J230" s="39" t="s">
        <v>45</v>
      </c>
      <c r="L230" s="8"/>
      <c r="M230" s="8"/>
    </row>
    <row r="231" spans="2:13" ht="18" customHeight="1" x14ac:dyDescent="0.35">
      <c r="B231" s="40" t="s">
        <v>313</v>
      </c>
      <c r="C231" s="41" t="s">
        <v>25</v>
      </c>
      <c r="D231" s="176">
        <v>126.378</v>
      </c>
      <c r="E231" s="176">
        <v>598.48299999999995</v>
      </c>
      <c r="F231" s="176">
        <v>356.24099999999999</v>
      </c>
      <c r="G231" s="176">
        <v>527.98500000000001</v>
      </c>
      <c r="H231" s="176">
        <v>448.774</v>
      </c>
      <c r="I231" s="41" t="s">
        <v>25</v>
      </c>
      <c r="J231" s="42" t="s">
        <v>312</v>
      </c>
      <c r="L231" s="6"/>
      <c r="M231" s="7"/>
    </row>
    <row r="232" spans="2:13" ht="18" customHeight="1" x14ac:dyDescent="0.35">
      <c r="B232" s="44" t="s">
        <v>315</v>
      </c>
      <c r="C232" s="45" t="s">
        <v>23</v>
      </c>
      <c r="D232" s="172">
        <v>151.238</v>
      </c>
      <c r="E232" s="172">
        <v>1116.1859999999999</v>
      </c>
      <c r="F232" s="172">
        <v>2084.3119999999999</v>
      </c>
      <c r="G232" s="172">
        <v>2859.8130000000001</v>
      </c>
      <c r="H232" s="172">
        <v>2644.5859999999998</v>
      </c>
      <c r="I232" s="45" t="s">
        <v>25</v>
      </c>
      <c r="J232" s="46" t="s">
        <v>314</v>
      </c>
      <c r="L232" s="6"/>
      <c r="M232" s="7"/>
    </row>
    <row r="233" spans="2:13" ht="18" customHeight="1" x14ac:dyDescent="0.35">
      <c r="B233" s="40" t="s">
        <v>317</v>
      </c>
      <c r="C233" s="41" t="s">
        <v>26</v>
      </c>
      <c r="D233" s="176">
        <v>254.79986858000001</v>
      </c>
      <c r="E233" s="176">
        <v>434.84453773000001</v>
      </c>
      <c r="F233" s="176">
        <v>535.53980068999999</v>
      </c>
      <c r="G233" s="176">
        <v>1200.1799005299999</v>
      </c>
      <c r="H233" s="176">
        <v>752.13507850999997</v>
      </c>
      <c r="I233" s="50" t="s">
        <v>27</v>
      </c>
      <c r="J233" s="42" t="s">
        <v>316</v>
      </c>
      <c r="L233" s="7"/>
      <c r="M233" s="7"/>
    </row>
    <row r="234" spans="2:13" ht="18" customHeight="1" x14ac:dyDescent="0.35">
      <c r="B234" s="23" t="s">
        <v>62</v>
      </c>
      <c r="C234" s="24" t="s">
        <v>63</v>
      </c>
      <c r="D234" s="173">
        <v>1.1967123330903853</v>
      </c>
      <c r="E234" s="173">
        <v>1.8650240751702609</v>
      </c>
      <c r="F234" s="173">
        <v>5.8508481617781225</v>
      </c>
      <c r="G234" s="173">
        <v>5.4164663768857073</v>
      </c>
      <c r="H234" s="173">
        <v>5.8929126910204248</v>
      </c>
      <c r="I234" s="27" t="s">
        <v>68</v>
      </c>
      <c r="J234" s="48" t="s">
        <v>65</v>
      </c>
      <c r="L234" s="8"/>
      <c r="M234" s="8"/>
    </row>
    <row r="235" spans="2:13" ht="18" customHeight="1" x14ac:dyDescent="0.35">
      <c r="B235" s="40" t="s">
        <v>320</v>
      </c>
      <c r="C235" s="41" t="s">
        <v>64</v>
      </c>
      <c r="D235" s="176">
        <v>2016.17</v>
      </c>
      <c r="E235" s="176">
        <v>726.58</v>
      </c>
      <c r="F235" s="176">
        <v>1503.31</v>
      </c>
      <c r="G235" s="176">
        <v>2273.13</v>
      </c>
      <c r="H235" s="176">
        <v>1675.98</v>
      </c>
      <c r="I235" s="50" t="s">
        <v>69</v>
      </c>
      <c r="J235" s="42" t="s">
        <v>66</v>
      </c>
      <c r="L235" s="7"/>
      <c r="M235" s="7"/>
    </row>
    <row r="236" spans="2:13" ht="18" customHeight="1" x14ac:dyDescent="0.35">
      <c r="B236" s="23" t="s">
        <v>319</v>
      </c>
      <c r="C236" s="24" t="s">
        <v>64</v>
      </c>
      <c r="D236" s="172">
        <v>1684.76</v>
      </c>
      <c r="E236" s="172">
        <v>389.58</v>
      </c>
      <c r="F236" s="172">
        <v>256.94</v>
      </c>
      <c r="G236" s="172">
        <v>419.67</v>
      </c>
      <c r="H236" s="172">
        <v>284.41000000000003</v>
      </c>
      <c r="I236" s="27" t="s">
        <v>69</v>
      </c>
      <c r="J236" s="48" t="s">
        <v>67</v>
      </c>
      <c r="L236" s="7"/>
      <c r="M236" s="7"/>
    </row>
    <row r="237" spans="2:13" ht="18" customHeight="1" x14ac:dyDescent="0.35">
      <c r="B237" s="37" t="s">
        <v>30</v>
      </c>
      <c r="C237" s="38"/>
      <c r="D237" s="51"/>
      <c r="E237" s="51"/>
      <c r="F237" s="51"/>
      <c r="G237" s="51"/>
      <c r="H237" s="51"/>
      <c r="I237" s="38"/>
      <c r="J237" s="39" t="s">
        <v>46</v>
      </c>
    </row>
    <row r="238" spans="2:13" ht="18" customHeight="1" x14ac:dyDescent="0.35">
      <c r="B238" s="40" t="s">
        <v>313</v>
      </c>
      <c r="C238" s="41" t="s">
        <v>25</v>
      </c>
      <c r="D238" s="176">
        <v>849.66099999999994</v>
      </c>
      <c r="E238" s="176">
        <v>1014.636</v>
      </c>
      <c r="F238" s="176">
        <v>1070.4449999999999</v>
      </c>
      <c r="G238" s="176">
        <v>1089.5519999999999</v>
      </c>
      <c r="H238" s="176">
        <v>1083.7180000000001</v>
      </c>
      <c r="I238" s="41" t="s">
        <v>25</v>
      </c>
      <c r="J238" s="42" t="s">
        <v>312</v>
      </c>
      <c r="L238" s="53"/>
    </row>
    <row r="239" spans="2:13" ht="18" customHeight="1" x14ac:dyDescent="0.35">
      <c r="B239" s="44" t="s">
        <v>315</v>
      </c>
      <c r="C239" s="45" t="s">
        <v>23</v>
      </c>
      <c r="D239" s="172">
        <v>5609.9809999999998</v>
      </c>
      <c r="E239" s="172">
        <v>5276.4279999999999</v>
      </c>
      <c r="F239" s="172">
        <v>7539.8450000000003</v>
      </c>
      <c r="G239" s="172">
        <v>8261.9169999999995</v>
      </c>
      <c r="H239" s="172">
        <v>8567.7900000000009</v>
      </c>
      <c r="I239" s="45" t="s">
        <v>25</v>
      </c>
      <c r="J239" s="46" t="s">
        <v>314</v>
      </c>
      <c r="L239" s="53"/>
    </row>
    <row r="240" spans="2:13" ht="18" customHeight="1" x14ac:dyDescent="0.35">
      <c r="B240" s="40" t="s">
        <v>317</v>
      </c>
      <c r="C240" s="41" t="s">
        <v>26</v>
      </c>
      <c r="D240" s="176">
        <v>1801.7530968699998</v>
      </c>
      <c r="E240" s="176">
        <v>2573.8397915300002</v>
      </c>
      <c r="F240" s="176">
        <v>1984.0188467200001</v>
      </c>
      <c r="G240" s="176">
        <v>1843.3038791199999</v>
      </c>
      <c r="H240" s="176">
        <v>1646.6551931400002</v>
      </c>
      <c r="I240" s="50" t="s">
        <v>27</v>
      </c>
      <c r="J240" s="42" t="s">
        <v>316</v>
      </c>
    </row>
    <row r="241" spans="2:13" ht="18" customHeight="1" x14ac:dyDescent="0.35">
      <c r="B241" s="23" t="s">
        <v>62</v>
      </c>
      <c r="C241" s="24" t="s">
        <v>63</v>
      </c>
      <c r="D241" s="173">
        <v>6.6026111051787018</v>
      </c>
      <c r="E241" s="173">
        <v>5.2003158079784892</v>
      </c>
      <c r="F241" s="173">
        <v>7.043654741719565</v>
      </c>
      <c r="G241" s="173">
        <v>7.582856990763176</v>
      </c>
      <c r="H241" s="173">
        <v>7.9059220203041747</v>
      </c>
      <c r="I241" s="27" t="s">
        <v>68</v>
      </c>
      <c r="J241" s="48" t="s">
        <v>65</v>
      </c>
    </row>
    <row r="242" spans="2:13" ht="18" customHeight="1" x14ac:dyDescent="0.35">
      <c r="B242" s="40" t="s">
        <v>320</v>
      </c>
      <c r="C242" s="41" t="s">
        <v>64</v>
      </c>
      <c r="D242" s="176">
        <v>2120.56</v>
      </c>
      <c r="E242" s="176">
        <v>2536.71</v>
      </c>
      <c r="F242" s="176">
        <v>1853.45</v>
      </c>
      <c r="G242" s="176">
        <v>1691.8</v>
      </c>
      <c r="H242" s="176">
        <v>1519.45</v>
      </c>
      <c r="I242" s="50" t="s">
        <v>69</v>
      </c>
      <c r="J242" s="42" t="s">
        <v>66</v>
      </c>
      <c r="L242" s="6"/>
    </row>
    <row r="243" spans="2:13" ht="18" customHeight="1" x14ac:dyDescent="0.35">
      <c r="B243" s="23" t="s">
        <v>319</v>
      </c>
      <c r="C243" s="24" t="s">
        <v>64</v>
      </c>
      <c r="D243" s="172">
        <v>321.17</v>
      </c>
      <c r="E243" s="172">
        <v>487.8</v>
      </c>
      <c r="F243" s="172">
        <v>263.14</v>
      </c>
      <c r="G243" s="172">
        <v>223.11</v>
      </c>
      <c r="H243" s="172">
        <v>192.19</v>
      </c>
      <c r="I243" s="27" t="s">
        <v>69</v>
      </c>
      <c r="J243" s="48" t="s">
        <v>67</v>
      </c>
      <c r="L243" s="6"/>
    </row>
    <row r="244" spans="2:13" ht="18" customHeight="1" x14ac:dyDescent="0.35">
      <c r="B244" s="37" t="s">
        <v>31</v>
      </c>
      <c r="C244" s="38"/>
      <c r="D244" s="51"/>
      <c r="E244" s="51"/>
      <c r="F244" s="51"/>
      <c r="G244" s="51"/>
      <c r="H244" s="51"/>
      <c r="I244" s="38"/>
      <c r="J244" s="39" t="s">
        <v>47</v>
      </c>
      <c r="L244" s="7"/>
    </row>
    <row r="245" spans="2:13" ht="18" customHeight="1" x14ac:dyDescent="0.35">
      <c r="B245" s="40" t="s">
        <v>313</v>
      </c>
      <c r="C245" s="41" t="s">
        <v>25</v>
      </c>
      <c r="D245" s="176">
        <v>976.03899999999999</v>
      </c>
      <c r="E245" s="176">
        <v>1613.1189999999999</v>
      </c>
      <c r="F245" s="176">
        <v>1426.6859999999999</v>
      </c>
      <c r="G245" s="176">
        <v>1617.537</v>
      </c>
      <c r="H245" s="176">
        <v>1532.492</v>
      </c>
      <c r="I245" s="41" t="s">
        <v>25</v>
      </c>
      <c r="J245" s="42" t="s">
        <v>312</v>
      </c>
      <c r="L245" s="8"/>
      <c r="M245" s="8"/>
    </row>
    <row r="246" spans="2:13" ht="18" customHeight="1" x14ac:dyDescent="0.35">
      <c r="B246" s="44" t="s">
        <v>315</v>
      </c>
      <c r="C246" s="45" t="s">
        <v>23</v>
      </c>
      <c r="D246" s="172">
        <v>5761.2190000000001</v>
      </c>
      <c r="E246" s="172">
        <v>6392.6130000000003</v>
      </c>
      <c r="F246" s="172">
        <v>9624.1569999999992</v>
      </c>
      <c r="G246" s="172">
        <v>11121.73</v>
      </c>
      <c r="H246" s="172">
        <v>11212.376</v>
      </c>
      <c r="I246" s="45" t="s">
        <v>25</v>
      </c>
      <c r="J246" s="46" t="s">
        <v>314</v>
      </c>
      <c r="L246" s="7"/>
      <c r="M246" s="7"/>
    </row>
    <row r="247" spans="2:13" ht="18" customHeight="1" x14ac:dyDescent="0.35">
      <c r="B247" s="40" t="s">
        <v>317</v>
      </c>
      <c r="C247" s="41" t="s">
        <v>26</v>
      </c>
      <c r="D247" s="176">
        <v>2056.5529654500001</v>
      </c>
      <c r="E247" s="176">
        <v>3008.6843292600001</v>
      </c>
      <c r="F247" s="176">
        <v>2519.55864741</v>
      </c>
      <c r="G247" s="176">
        <v>3043.4837796500001</v>
      </c>
      <c r="H247" s="176">
        <v>2398.7902716500002</v>
      </c>
      <c r="I247" s="50" t="s">
        <v>27</v>
      </c>
      <c r="J247" s="42" t="s">
        <v>316</v>
      </c>
      <c r="L247" s="7"/>
      <c r="M247" s="7"/>
    </row>
    <row r="248" spans="2:13" ht="18" customHeight="1" x14ac:dyDescent="0.35">
      <c r="B248" s="23" t="s">
        <v>62</v>
      </c>
      <c r="C248" s="24" t="s">
        <v>63</v>
      </c>
      <c r="D248" s="174">
        <v>5.9026525616106875</v>
      </c>
      <c r="E248" s="174">
        <v>3.9628895001981661</v>
      </c>
      <c r="F248" s="174">
        <v>6.7458130240291139</v>
      </c>
      <c r="G248" s="174">
        <v>6.8757190716502929</v>
      </c>
      <c r="H248" s="174">
        <v>7.3164336257546534</v>
      </c>
      <c r="I248" s="27" t="s">
        <v>68</v>
      </c>
      <c r="J248" s="48" t="s">
        <v>65</v>
      </c>
    </row>
    <row r="249" spans="2:13" ht="18" customHeight="1" x14ac:dyDescent="0.35">
      <c r="B249" s="40" t="s">
        <v>320</v>
      </c>
      <c r="C249" s="41" t="s">
        <v>64</v>
      </c>
      <c r="D249" s="176">
        <v>2107.04</v>
      </c>
      <c r="E249" s="176">
        <v>1865.13</v>
      </c>
      <c r="F249" s="176">
        <v>1766.02</v>
      </c>
      <c r="G249" s="176">
        <v>1881.55</v>
      </c>
      <c r="H249" s="176">
        <v>1565.29</v>
      </c>
      <c r="I249" s="50" t="s">
        <v>69</v>
      </c>
      <c r="J249" s="42" t="s">
        <v>66</v>
      </c>
    </row>
    <row r="250" spans="2:13" ht="18" customHeight="1" x14ac:dyDescent="0.35">
      <c r="B250" s="23" t="s">
        <v>319</v>
      </c>
      <c r="C250" s="24" t="s">
        <v>64</v>
      </c>
      <c r="D250" s="172">
        <v>356.96</v>
      </c>
      <c r="E250" s="172">
        <v>470.65</v>
      </c>
      <c r="F250" s="172">
        <v>261.8</v>
      </c>
      <c r="G250" s="172">
        <v>273.64999999999998</v>
      </c>
      <c r="H250" s="172">
        <v>213.94</v>
      </c>
      <c r="I250" s="27" t="s">
        <v>69</v>
      </c>
      <c r="J250" s="48" t="s">
        <v>67</v>
      </c>
    </row>
    <row r="251" spans="2:13" ht="18" customHeight="1" x14ac:dyDescent="0.35">
      <c r="B251" s="35" t="s">
        <v>43</v>
      </c>
      <c r="C251" s="21"/>
      <c r="D251" s="21"/>
      <c r="E251" s="21"/>
      <c r="F251" s="21"/>
      <c r="G251" s="21"/>
      <c r="H251" s="21"/>
      <c r="I251" s="21"/>
      <c r="J251" s="36" t="s">
        <v>60</v>
      </c>
    </row>
    <row r="252" spans="2:13" ht="18" customHeight="1" x14ac:dyDescent="0.35">
      <c r="B252" s="37" t="s">
        <v>29</v>
      </c>
      <c r="C252" s="38"/>
      <c r="D252" s="38"/>
      <c r="E252" s="38"/>
      <c r="F252" s="38"/>
      <c r="G252" s="38"/>
      <c r="H252" s="38"/>
      <c r="I252" s="38"/>
      <c r="J252" s="39" t="s">
        <v>45</v>
      </c>
    </row>
    <row r="253" spans="2:13" ht="18" customHeight="1" x14ac:dyDescent="0.35">
      <c r="B253" s="54" t="s">
        <v>313</v>
      </c>
      <c r="C253" s="41" t="s">
        <v>25</v>
      </c>
      <c r="D253" s="176">
        <v>1223.4059999999999</v>
      </c>
      <c r="E253" s="176">
        <v>1910.6310000000001</v>
      </c>
      <c r="F253" s="176">
        <v>3010.0569999999998</v>
      </c>
      <c r="G253" s="176">
        <v>2860.7220000000002</v>
      </c>
      <c r="H253" s="176">
        <v>2316.4490000000001</v>
      </c>
      <c r="I253" s="41" t="s">
        <v>25</v>
      </c>
      <c r="J253" s="42" t="s">
        <v>312</v>
      </c>
      <c r="L253" s="6"/>
    </row>
    <row r="254" spans="2:13" ht="18" customHeight="1" x14ac:dyDescent="0.35">
      <c r="B254" s="23" t="s">
        <v>315</v>
      </c>
      <c r="C254" s="24" t="s">
        <v>23</v>
      </c>
      <c r="D254" s="172">
        <v>14859.216</v>
      </c>
      <c r="E254" s="172">
        <v>41956.523999999998</v>
      </c>
      <c r="F254" s="172">
        <v>56978.828000000001</v>
      </c>
      <c r="G254" s="172">
        <v>40616.597999999998</v>
      </c>
      <c r="H254" s="172">
        <v>30205.098000000002</v>
      </c>
      <c r="I254" s="24" t="s">
        <v>25</v>
      </c>
      <c r="J254" s="48" t="s">
        <v>314</v>
      </c>
      <c r="L254" s="6"/>
    </row>
    <row r="255" spans="2:13" ht="18" customHeight="1" x14ac:dyDescent="0.35">
      <c r="B255" s="55" t="s">
        <v>317</v>
      </c>
      <c r="C255" s="56" t="s">
        <v>26</v>
      </c>
      <c r="D255" s="176">
        <v>7471.7054791299997</v>
      </c>
      <c r="E255" s="176">
        <v>11535.265204490001</v>
      </c>
      <c r="F255" s="176">
        <v>12541.56021589</v>
      </c>
      <c r="G255" s="176">
        <v>10573.64782502</v>
      </c>
      <c r="H255" s="176">
        <v>9141.5659566800005</v>
      </c>
      <c r="I255" s="47" t="s">
        <v>27</v>
      </c>
      <c r="J255" s="57" t="s">
        <v>316</v>
      </c>
      <c r="L255" s="7"/>
    </row>
    <row r="256" spans="2:13" ht="18" customHeight="1" x14ac:dyDescent="0.35">
      <c r="B256" s="23" t="s">
        <v>62</v>
      </c>
      <c r="C256" s="24" t="s">
        <v>63</v>
      </c>
      <c r="D256" s="173">
        <v>12.145772197848695</v>
      </c>
      <c r="E256" s="173">
        <v>21.959507455558182</v>
      </c>
      <c r="F256" s="173">
        <v>18.92948472404343</v>
      </c>
      <c r="G256" s="173">
        <v>14.198023436041671</v>
      </c>
      <c r="H256" s="173">
        <v>13.039396939021753</v>
      </c>
      <c r="I256" s="27" t="s">
        <v>68</v>
      </c>
      <c r="J256" s="48" t="s">
        <v>65</v>
      </c>
      <c r="L256" s="8"/>
      <c r="M256" s="8"/>
    </row>
    <row r="257" spans="2:13" ht="18" customHeight="1" x14ac:dyDescent="0.35">
      <c r="B257" s="40" t="s">
        <v>320</v>
      </c>
      <c r="C257" s="41" t="s">
        <v>64</v>
      </c>
      <c r="D257" s="176">
        <v>6107.3</v>
      </c>
      <c r="E257" s="176">
        <v>6037.41</v>
      </c>
      <c r="F257" s="176">
        <v>4166.55</v>
      </c>
      <c r="G257" s="176">
        <v>3696.15</v>
      </c>
      <c r="H257" s="176">
        <v>3946.37</v>
      </c>
      <c r="I257" s="50" t="s">
        <v>69</v>
      </c>
      <c r="J257" s="42" t="s">
        <v>66</v>
      </c>
      <c r="L257" s="7"/>
      <c r="M257" s="7"/>
    </row>
    <row r="258" spans="2:13" ht="18" customHeight="1" x14ac:dyDescent="0.35">
      <c r="B258" s="23" t="s">
        <v>319</v>
      </c>
      <c r="C258" s="24" t="s">
        <v>64</v>
      </c>
      <c r="D258" s="172">
        <v>502.83</v>
      </c>
      <c r="E258" s="172">
        <v>274.93</v>
      </c>
      <c r="F258" s="172">
        <v>220.11</v>
      </c>
      <c r="G258" s="172">
        <v>260.33</v>
      </c>
      <c r="H258" s="172">
        <v>302.64999999999998</v>
      </c>
      <c r="I258" s="27" t="s">
        <v>69</v>
      </c>
      <c r="J258" s="48" t="s">
        <v>67</v>
      </c>
      <c r="L258" s="7"/>
      <c r="M258" s="7"/>
    </row>
    <row r="259" spans="2:13" ht="18" customHeight="1" x14ac:dyDescent="0.35">
      <c r="B259" s="37" t="s">
        <v>30</v>
      </c>
      <c r="C259" s="38"/>
      <c r="D259" s="51"/>
      <c r="E259" s="51"/>
      <c r="F259" s="51"/>
      <c r="G259" s="51"/>
      <c r="H259" s="51"/>
      <c r="I259" s="38"/>
      <c r="J259" s="39" t="s">
        <v>46</v>
      </c>
    </row>
    <row r="260" spans="2:13" ht="18" customHeight="1" x14ac:dyDescent="0.35">
      <c r="B260" s="40" t="s">
        <v>313</v>
      </c>
      <c r="C260" s="41" t="s">
        <v>25</v>
      </c>
      <c r="D260" s="176">
        <v>11606.337</v>
      </c>
      <c r="E260" s="176">
        <v>16143.781999999999</v>
      </c>
      <c r="F260" s="176">
        <v>16347.778</v>
      </c>
      <c r="G260" s="176">
        <v>17596.758000000002</v>
      </c>
      <c r="H260" s="176">
        <v>21766.297999999999</v>
      </c>
      <c r="I260" s="41" t="s">
        <v>25</v>
      </c>
      <c r="J260" s="42" t="s">
        <v>312</v>
      </c>
      <c r="L260" s="53"/>
    </row>
    <row r="261" spans="2:13" ht="18" customHeight="1" x14ac:dyDescent="0.35">
      <c r="B261" s="44" t="s">
        <v>315</v>
      </c>
      <c r="C261" s="45" t="s">
        <v>23</v>
      </c>
      <c r="D261" s="172">
        <v>55439.224999999999</v>
      </c>
      <c r="E261" s="172">
        <v>72030.134000000005</v>
      </c>
      <c r="F261" s="172">
        <v>98364.04</v>
      </c>
      <c r="G261" s="172">
        <v>107571.28200000001</v>
      </c>
      <c r="H261" s="172">
        <v>129232.58500000001</v>
      </c>
      <c r="I261" s="45" t="s">
        <v>25</v>
      </c>
      <c r="J261" s="46" t="s">
        <v>314</v>
      </c>
      <c r="L261" s="53"/>
    </row>
    <row r="262" spans="2:13" ht="18" customHeight="1" x14ac:dyDescent="0.35">
      <c r="B262" s="40" t="s">
        <v>317</v>
      </c>
      <c r="C262" s="41" t="s">
        <v>26</v>
      </c>
      <c r="D262" s="176">
        <v>21108.12020501</v>
      </c>
      <c r="E262" s="176">
        <v>24947.077797580001</v>
      </c>
      <c r="F262" s="176">
        <v>28575.946725919999</v>
      </c>
      <c r="G262" s="176">
        <v>29493.02531583</v>
      </c>
      <c r="H262" s="176">
        <v>39744.145097199995</v>
      </c>
      <c r="I262" s="50" t="s">
        <v>27</v>
      </c>
      <c r="J262" s="42" t="s">
        <v>316</v>
      </c>
    </row>
    <row r="263" spans="2:13" ht="18" customHeight="1" x14ac:dyDescent="0.35">
      <c r="B263" s="23" t="s">
        <v>62</v>
      </c>
      <c r="C263" s="24" t="s">
        <v>63</v>
      </c>
      <c r="D263" s="178">
        <v>4.7766340731126382</v>
      </c>
      <c r="E263" s="178">
        <v>4.4617880891558119</v>
      </c>
      <c r="F263" s="178">
        <v>6.0169669541634345</v>
      </c>
      <c r="G263" s="178">
        <v>6.1131307255575145</v>
      </c>
      <c r="H263" s="178">
        <v>5.9372790448793822</v>
      </c>
      <c r="I263" s="27" t="s">
        <v>68</v>
      </c>
      <c r="J263" s="48" t="s">
        <v>65</v>
      </c>
    </row>
    <row r="264" spans="2:13" ht="18" customHeight="1" x14ac:dyDescent="0.35">
      <c r="B264" s="40" t="s">
        <v>320</v>
      </c>
      <c r="C264" s="41" t="s">
        <v>64</v>
      </c>
      <c r="D264" s="176">
        <v>1818.67</v>
      </c>
      <c r="E264" s="176">
        <v>1545.31</v>
      </c>
      <c r="F264" s="176">
        <v>1748</v>
      </c>
      <c r="G264" s="176">
        <v>1676.05</v>
      </c>
      <c r="H264" s="176">
        <v>1825.95</v>
      </c>
      <c r="I264" s="50" t="s">
        <v>69</v>
      </c>
      <c r="J264" s="42" t="s">
        <v>66</v>
      </c>
      <c r="L264" s="6"/>
    </row>
    <row r="265" spans="2:13" ht="18" customHeight="1" x14ac:dyDescent="0.35">
      <c r="B265" s="23" t="s">
        <v>319</v>
      </c>
      <c r="C265" s="24" t="s">
        <v>64</v>
      </c>
      <c r="D265" s="172">
        <v>380.74</v>
      </c>
      <c r="E265" s="172">
        <v>346.34</v>
      </c>
      <c r="F265" s="172">
        <v>290.51</v>
      </c>
      <c r="G265" s="172">
        <v>274.17</v>
      </c>
      <c r="H265" s="172">
        <v>307.54000000000002</v>
      </c>
      <c r="I265" s="27" t="s">
        <v>69</v>
      </c>
      <c r="J265" s="48" t="s">
        <v>67</v>
      </c>
      <c r="L265" s="6"/>
    </row>
    <row r="266" spans="2:13" ht="18" customHeight="1" x14ac:dyDescent="0.35">
      <c r="B266" s="37" t="s">
        <v>31</v>
      </c>
      <c r="C266" s="38"/>
      <c r="D266" s="51"/>
      <c r="E266" s="51"/>
      <c r="F266" s="51"/>
      <c r="G266" s="51"/>
      <c r="H266" s="51"/>
      <c r="I266" s="38"/>
      <c r="J266" s="39" t="s">
        <v>47</v>
      </c>
      <c r="L266" s="7"/>
    </row>
    <row r="267" spans="2:13" ht="18" customHeight="1" x14ac:dyDescent="0.35">
      <c r="B267" s="40" t="s">
        <v>313</v>
      </c>
      <c r="C267" s="41" t="s">
        <v>25</v>
      </c>
      <c r="D267" s="176">
        <v>12829.743</v>
      </c>
      <c r="E267" s="176">
        <v>18054.413</v>
      </c>
      <c r="F267" s="176">
        <v>19357.834999999999</v>
      </c>
      <c r="G267" s="176">
        <v>20457.48</v>
      </c>
      <c r="H267" s="176">
        <v>24082.746999999999</v>
      </c>
      <c r="I267" s="41" t="s">
        <v>25</v>
      </c>
      <c r="J267" s="42" t="s">
        <v>312</v>
      </c>
      <c r="L267" s="8"/>
      <c r="M267" s="8"/>
    </row>
    <row r="268" spans="2:13" ht="18" customHeight="1" x14ac:dyDescent="0.35">
      <c r="B268" s="44" t="s">
        <v>315</v>
      </c>
      <c r="C268" s="45" t="s">
        <v>23</v>
      </c>
      <c r="D268" s="172">
        <v>70298.441000000006</v>
      </c>
      <c r="E268" s="172">
        <v>113986.658</v>
      </c>
      <c r="F268" s="172">
        <v>155342.86799999999</v>
      </c>
      <c r="G268" s="172">
        <v>148187.88</v>
      </c>
      <c r="H268" s="172">
        <v>159437.68299999999</v>
      </c>
      <c r="I268" s="45" t="s">
        <v>25</v>
      </c>
      <c r="J268" s="46" t="s">
        <v>314</v>
      </c>
      <c r="L268" s="7"/>
      <c r="M268" s="7"/>
    </row>
    <row r="269" spans="2:13" ht="18" customHeight="1" x14ac:dyDescent="0.35">
      <c r="B269" s="40" t="s">
        <v>317</v>
      </c>
      <c r="C269" s="41" t="s">
        <v>26</v>
      </c>
      <c r="D269" s="176">
        <v>28579.82568414</v>
      </c>
      <c r="E269" s="176">
        <v>36482.343002069996</v>
      </c>
      <c r="F269" s="176">
        <v>41117.506941809996</v>
      </c>
      <c r="G269" s="176">
        <v>40066.673140849998</v>
      </c>
      <c r="H269" s="176">
        <v>48885.711053879997</v>
      </c>
      <c r="I269" s="50" t="s">
        <v>27</v>
      </c>
      <c r="J269" s="42" t="s">
        <v>316</v>
      </c>
      <c r="L269" s="7"/>
      <c r="M269" s="7"/>
    </row>
    <row r="270" spans="2:13" ht="18" customHeight="1" x14ac:dyDescent="0.35">
      <c r="B270" s="23" t="s">
        <v>62</v>
      </c>
      <c r="C270" s="24" t="s">
        <v>63</v>
      </c>
      <c r="D270" s="174">
        <v>5.4793333185714292</v>
      </c>
      <c r="E270" s="174">
        <v>6.3135066032668696</v>
      </c>
      <c r="F270" s="174">
        <v>8.0248058731774492</v>
      </c>
      <c r="G270" s="174">
        <v>7.2437015702813836</v>
      </c>
      <c r="H270" s="174">
        <v>6.6204109938122926</v>
      </c>
      <c r="I270" s="27" t="s">
        <v>68</v>
      </c>
      <c r="J270" s="48" t="s">
        <v>65</v>
      </c>
    </row>
    <row r="271" spans="2:13" ht="18" customHeight="1" x14ac:dyDescent="0.35">
      <c r="B271" s="40" t="s">
        <v>320</v>
      </c>
      <c r="C271" s="41" t="s">
        <v>64</v>
      </c>
      <c r="D271" s="176">
        <v>2227.62</v>
      </c>
      <c r="E271" s="176">
        <v>2020.69</v>
      </c>
      <c r="F271" s="176">
        <v>2124.08</v>
      </c>
      <c r="G271" s="176">
        <v>1958.53</v>
      </c>
      <c r="H271" s="176">
        <v>2029.91</v>
      </c>
      <c r="I271" s="50" t="s">
        <v>69</v>
      </c>
      <c r="J271" s="42" t="s">
        <v>66</v>
      </c>
    </row>
    <row r="272" spans="2:13" ht="18" customHeight="1" x14ac:dyDescent="0.35">
      <c r="B272" s="23" t="s">
        <v>319</v>
      </c>
      <c r="C272" s="24" t="s">
        <v>64</v>
      </c>
      <c r="D272" s="172">
        <v>406.55</v>
      </c>
      <c r="E272" s="172">
        <v>320.06</v>
      </c>
      <c r="F272" s="172">
        <v>264.69</v>
      </c>
      <c r="G272" s="172">
        <v>270.38</v>
      </c>
      <c r="H272" s="172">
        <v>306.61</v>
      </c>
      <c r="I272" s="27" t="s">
        <v>69</v>
      </c>
      <c r="J272" s="48" t="s">
        <v>67</v>
      </c>
    </row>
    <row r="273" spans="2:12" ht="18" customHeight="1" x14ac:dyDescent="0.35">
      <c r="B273" s="35" t="s">
        <v>44</v>
      </c>
      <c r="C273" s="21"/>
      <c r="D273" s="58"/>
      <c r="E273" s="58"/>
      <c r="F273" s="58"/>
      <c r="G273" s="58"/>
      <c r="H273" s="58"/>
      <c r="I273" s="21"/>
      <c r="J273" s="36" t="s">
        <v>61</v>
      </c>
    </row>
    <row r="274" spans="2:12" ht="18" customHeight="1" x14ac:dyDescent="0.35">
      <c r="B274" s="37" t="s">
        <v>29</v>
      </c>
      <c r="C274" s="38"/>
      <c r="D274" s="38"/>
      <c r="E274" s="38"/>
      <c r="F274" s="38"/>
      <c r="G274" s="38"/>
      <c r="H274" s="38"/>
      <c r="I274" s="38"/>
      <c r="J274" s="39" t="s">
        <v>45</v>
      </c>
    </row>
    <row r="275" spans="2:12" ht="18" customHeight="1" x14ac:dyDescent="0.35">
      <c r="B275" s="40" t="s">
        <v>313</v>
      </c>
      <c r="C275" s="41" t="s">
        <v>25</v>
      </c>
      <c r="D275" s="176">
        <v>37.558999999999997</v>
      </c>
      <c r="E275" s="176">
        <v>86.266999999999996</v>
      </c>
      <c r="F275" s="176">
        <v>138.04900000000001</v>
      </c>
      <c r="G275" s="176">
        <v>154.08199999999999</v>
      </c>
      <c r="H275" s="176">
        <v>367.72</v>
      </c>
      <c r="I275" s="41" t="s">
        <v>25</v>
      </c>
      <c r="J275" s="42" t="s">
        <v>312</v>
      </c>
      <c r="L275" s="6"/>
    </row>
    <row r="276" spans="2:12" ht="18" customHeight="1" x14ac:dyDescent="0.35">
      <c r="B276" s="44" t="s">
        <v>315</v>
      </c>
      <c r="C276" s="45" t="s">
        <v>23</v>
      </c>
      <c r="D276" s="172">
        <v>421.459</v>
      </c>
      <c r="E276" s="172">
        <v>1258.6690000000001</v>
      </c>
      <c r="F276" s="172">
        <v>1177.1659999999999</v>
      </c>
      <c r="G276" s="172">
        <v>4580.951</v>
      </c>
      <c r="H276" s="172">
        <v>13624.532999999999</v>
      </c>
      <c r="I276" s="45" t="s">
        <v>25</v>
      </c>
      <c r="J276" s="46" t="s">
        <v>314</v>
      </c>
      <c r="L276" s="6"/>
    </row>
    <row r="277" spans="2:12" ht="18" customHeight="1" x14ac:dyDescent="0.35">
      <c r="B277" s="40" t="s">
        <v>317</v>
      </c>
      <c r="C277" s="41" t="s">
        <v>26</v>
      </c>
      <c r="D277" s="176">
        <v>221.85587294999999</v>
      </c>
      <c r="E277" s="176">
        <v>305.84763633</v>
      </c>
      <c r="F277" s="176">
        <v>341.32076799999999</v>
      </c>
      <c r="G277" s="176">
        <v>932.18051159000004</v>
      </c>
      <c r="H277" s="176">
        <v>2424.6811766999999</v>
      </c>
      <c r="I277" s="50" t="s">
        <v>27</v>
      </c>
      <c r="J277" s="42" t="s">
        <v>316</v>
      </c>
      <c r="L277" s="7"/>
    </row>
    <row r="278" spans="2:12" ht="18" customHeight="1" x14ac:dyDescent="0.35">
      <c r="B278" s="23" t="s">
        <v>62</v>
      </c>
      <c r="C278" s="24" t="s">
        <v>63</v>
      </c>
      <c r="D278" s="173">
        <v>11.221350441165372</v>
      </c>
      <c r="E278" s="173">
        <v>14.590340492218374</v>
      </c>
      <c r="F278" s="173">
        <v>8.5271606458576308</v>
      </c>
      <c r="G278" s="173">
        <v>29.73060448332706</v>
      </c>
      <c r="H278" s="173">
        <v>37.051378766452736</v>
      </c>
      <c r="I278" s="27" t="s">
        <v>68</v>
      </c>
      <c r="J278" s="48" t="s">
        <v>65</v>
      </c>
      <c r="L278" s="8"/>
    </row>
    <row r="279" spans="2:12" ht="18" customHeight="1" x14ac:dyDescent="0.35">
      <c r="B279" s="40" t="s">
        <v>320</v>
      </c>
      <c r="C279" s="41" t="s">
        <v>64</v>
      </c>
      <c r="D279" s="176">
        <v>5906.91</v>
      </c>
      <c r="E279" s="176">
        <v>3545.35</v>
      </c>
      <c r="F279" s="176">
        <v>2472.46</v>
      </c>
      <c r="G279" s="176">
        <v>6049.9</v>
      </c>
      <c r="H279" s="176">
        <v>6593.82</v>
      </c>
      <c r="I279" s="50" t="s">
        <v>69</v>
      </c>
      <c r="J279" s="42" t="s">
        <v>66</v>
      </c>
      <c r="L279" s="7"/>
    </row>
    <row r="280" spans="2:12" ht="18" customHeight="1" x14ac:dyDescent="0.35">
      <c r="B280" s="23" t="s">
        <v>319</v>
      </c>
      <c r="C280" s="24" t="s">
        <v>64</v>
      </c>
      <c r="D280" s="172">
        <v>526.4</v>
      </c>
      <c r="E280" s="172">
        <v>242.99</v>
      </c>
      <c r="F280" s="172">
        <v>289.95</v>
      </c>
      <c r="G280" s="172">
        <v>203.49</v>
      </c>
      <c r="H280" s="172">
        <v>177.96</v>
      </c>
      <c r="I280" s="27" t="s">
        <v>69</v>
      </c>
      <c r="J280" s="48" t="s">
        <v>67</v>
      </c>
      <c r="L280" s="7"/>
    </row>
    <row r="281" spans="2:12" ht="18" customHeight="1" x14ac:dyDescent="0.35">
      <c r="B281" s="37" t="s">
        <v>30</v>
      </c>
      <c r="C281" s="38"/>
      <c r="D281" s="51"/>
      <c r="E281" s="51"/>
      <c r="F281" s="51"/>
      <c r="G281" s="51"/>
      <c r="H281" s="51"/>
      <c r="I281" s="38"/>
      <c r="J281" s="39" t="s">
        <v>46</v>
      </c>
    </row>
    <row r="282" spans="2:12" ht="18" customHeight="1" x14ac:dyDescent="0.35">
      <c r="B282" s="40" t="s">
        <v>313</v>
      </c>
      <c r="C282" s="41" t="s">
        <v>25</v>
      </c>
      <c r="D282" s="176">
        <v>2288.1779999999999</v>
      </c>
      <c r="E282" s="176">
        <v>2610.1390000000001</v>
      </c>
      <c r="F282" s="176">
        <v>2817.058</v>
      </c>
      <c r="G282" s="176">
        <v>3090.364</v>
      </c>
      <c r="H282" s="176">
        <v>2611.0810000000001</v>
      </c>
      <c r="I282" s="41" t="s">
        <v>25</v>
      </c>
      <c r="J282" s="42" t="s">
        <v>312</v>
      </c>
      <c r="L282" s="53"/>
    </row>
    <row r="283" spans="2:12" ht="18" customHeight="1" x14ac:dyDescent="0.35">
      <c r="B283" s="44" t="s">
        <v>315</v>
      </c>
      <c r="C283" s="45" t="s">
        <v>23</v>
      </c>
      <c r="D283" s="172">
        <v>12673.468000000001</v>
      </c>
      <c r="E283" s="172">
        <v>14063.06</v>
      </c>
      <c r="F283" s="172">
        <v>18465.444</v>
      </c>
      <c r="G283" s="172">
        <v>21462.292000000001</v>
      </c>
      <c r="H283" s="172">
        <v>18125.687000000002</v>
      </c>
      <c r="I283" s="45" t="s">
        <v>25</v>
      </c>
      <c r="J283" s="46" t="s">
        <v>314</v>
      </c>
      <c r="L283" s="53"/>
    </row>
    <row r="284" spans="2:12" ht="18" customHeight="1" x14ac:dyDescent="0.35">
      <c r="B284" s="40" t="s">
        <v>317</v>
      </c>
      <c r="C284" s="41" t="s">
        <v>26</v>
      </c>
      <c r="D284" s="176">
        <v>4286.0914412100001</v>
      </c>
      <c r="E284" s="176">
        <v>5378.33666197</v>
      </c>
      <c r="F284" s="176">
        <v>4201.5417734000002</v>
      </c>
      <c r="G284" s="176">
        <v>4879.7666384599997</v>
      </c>
      <c r="H284" s="176">
        <v>4256.6720836499999</v>
      </c>
      <c r="I284" s="50" t="s">
        <v>27</v>
      </c>
      <c r="J284" s="42" t="s">
        <v>316</v>
      </c>
    </row>
    <row r="285" spans="2:12" ht="18" customHeight="1" x14ac:dyDescent="0.35">
      <c r="B285" s="23" t="s">
        <v>62</v>
      </c>
      <c r="C285" s="24" t="s">
        <v>63</v>
      </c>
      <c r="D285" s="174">
        <v>5.5386721904073921</v>
      </c>
      <c r="E285" s="174">
        <v>5.3878585129672851</v>
      </c>
      <c r="F285" s="174">
        <v>6.5548682348748235</v>
      </c>
      <c r="G285" s="174">
        <v>6.9449074607392527</v>
      </c>
      <c r="H285" s="174">
        <v>6.9418325207069413</v>
      </c>
      <c r="I285" s="27" t="s">
        <v>68</v>
      </c>
      <c r="J285" s="48" t="s">
        <v>65</v>
      </c>
    </row>
    <row r="286" spans="2:12" ht="18" customHeight="1" x14ac:dyDescent="0.35">
      <c r="B286" s="40" t="s">
        <v>320</v>
      </c>
      <c r="C286" s="41" t="s">
        <v>64</v>
      </c>
      <c r="D286" s="176">
        <v>1873.15</v>
      </c>
      <c r="E286" s="176">
        <v>2060.56</v>
      </c>
      <c r="F286" s="176">
        <v>1491.46</v>
      </c>
      <c r="G286" s="176">
        <v>1579.03</v>
      </c>
      <c r="H286" s="176">
        <v>1630.23</v>
      </c>
      <c r="I286" s="50" t="s">
        <v>69</v>
      </c>
      <c r="J286" s="42" t="s">
        <v>66</v>
      </c>
      <c r="L286" s="6"/>
    </row>
    <row r="287" spans="2:12" ht="18" customHeight="1" x14ac:dyDescent="0.35">
      <c r="B287" s="23" t="s">
        <v>319</v>
      </c>
      <c r="C287" s="24" t="s">
        <v>64</v>
      </c>
      <c r="D287" s="172">
        <v>338.19</v>
      </c>
      <c r="E287" s="172">
        <v>382.44</v>
      </c>
      <c r="F287" s="172">
        <v>227.54</v>
      </c>
      <c r="G287" s="172">
        <v>227.36</v>
      </c>
      <c r="H287" s="172">
        <v>234.84</v>
      </c>
      <c r="I287" s="27" t="s">
        <v>69</v>
      </c>
      <c r="J287" s="48" t="s">
        <v>67</v>
      </c>
      <c r="L287" s="6"/>
    </row>
    <row r="288" spans="2:12" ht="18" customHeight="1" x14ac:dyDescent="0.35">
      <c r="B288" s="37" t="s">
        <v>31</v>
      </c>
      <c r="C288" s="38"/>
      <c r="D288" s="51"/>
      <c r="E288" s="51"/>
      <c r="F288" s="51"/>
      <c r="G288" s="51"/>
      <c r="H288" s="51"/>
      <c r="I288" s="38"/>
      <c r="J288" s="39" t="s">
        <v>47</v>
      </c>
      <c r="L288" s="7"/>
    </row>
    <row r="289" spans="2:13" ht="18" customHeight="1" x14ac:dyDescent="0.35">
      <c r="B289" s="40" t="s">
        <v>313</v>
      </c>
      <c r="C289" s="41" t="s">
        <v>25</v>
      </c>
      <c r="D289" s="176">
        <v>2325.7370000000001</v>
      </c>
      <c r="E289" s="176">
        <v>2696.4059999999999</v>
      </c>
      <c r="F289" s="176">
        <v>2955.107</v>
      </c>
      <c r="G289" s="176">
        <v>3244.4459999999999</v>
      </c>
      <c r="H289" s="176">
        <v>2978.8009999999999</v>
      </c>
      <c r="I289" s="41" t="s">
        <v>25</v>
      </c>
      <c r="J289" s="42" t="s">
        <v>312</v>
      </c>
      <c r="L289" s="8"/>
      <c r="M289" s="8"/>
    </row>
    <row r="290" spans="2:13" ht="18" customHeight="1" x14ac:dyDescent="0.35">
      <c r="B290" s="44" t="s">
        <v>315</v>
      </c>
      <c r="C290" s="45" t="s">
        <v>23</v>
      </c>
      <c r="D290" s="172">
        <v>13094.927</v>
      </c>
      <c r="E290" s="172">
        <v>15321.727999999999</v>
      </c>
      <c r="F290" s="172">
        <v>19642.61</v>
      </c>
      <c r="G290" s="172">
        <v>26043.242999999999</v>
      </c>
      <c r="H290" s="172">
        <v>31750.22</v>
      </c>
      <c r="I290" s="45" t="s">
        <v>25</v>
      </c>
      <c r="J290" s="46" t="s">
        <v>314</v>
      </c>
      <c r="L290" s="7"/>
      <c r="M290" s="7"/>
    </row>
    <row r="291" spans="2:13" ht="18" customHeight="1" x14ac:dyDescent="0.35">
      <c r="B291" s="40" t="s">
        <v>317</v>
      </c>
      <c r="C291" s="41" t="s">
        <v>26</v>
      </c>
      <c r="D291" s="176">
        <v>4507.9473141600001</v>
      </c>
      <c r="E291" s="176">
        <v>5684.1842983000006</v>
      </c>
      <c r="F291" s="176">
        <v>4542.8625413999998</v>
      </c>
      <c r="G291" s="176">
        <v>5811.9471500500003</v>
      </c>
      <c r="H291" s="176">
        <v>6681.3532603500007</v>
      </c>
      <c r="I291" s="50" t="s">
        <v>27</v>
      </c>
      <c r="J291" s="42" t="s">
        <v>316</v>
      </c>
      <c r="L291" s="7"/>
      <c r="M291" s="7"/>
    </row>
    <row r="292" spans="2:13" ht="18" customHeight="1" x14ac:dyDescent="0.35">
      <c r="B292" s="23" t="s">
        <v>62</v>
      </c>
      <c r="C292" s="24" t="s">
        <v>63</v>
      </c>
      <c r="D292" s="172">
        <v>5.630442679437202</v>
      </c>
      <c r="E292" s="172">
        <v>5.6822773510977109</v>
      </c>
      <c r="F292" s="172">
        <v>6.6470046600681467</v>
      </c>
      <c r="G292" s="172">
        <v>8.0270231034820743</v>
      </c>
      <c r="H292" s="172">
        <v>10.658724768791201</v>
      </c>
      <c r="I292" s="27" t="s">
        <v>68</v>
      </c>
      <c r="J292" s="48" t="s">
        <v>65</v>
      </c>
    </row>
    <row r="293" spans="2:13" ht="18" customHeight="1" x14ac:dyDescent="0.35">
      <c r="B293" s="40" t="s">
        <v>320</v>
      </c>
      <c r="C293" s="41" t="s">
        <v>64</v>
      </c>
      <c r="D293" s="176">
        <v>1938.29</v>
      </c>
      <c r="E293" s="176">
        <v>2108.06</v>
      </c>
      <c r="F293" s="176">
        <v>1537.29</v>
      </c>
      <c r="G293" s="176">
        <v>1791.35</v>
      </c>
      <c r="H293" s="176">
        <v>2242.9699999999998</v>
      </c>
      <c r="I293" s="50" t="s">
        <v>69</v>
      </c>
      <c r="J293" s="42" t="s">
        <v>66</v>
      </c>
      <c r="L293" s="53"/>
    </row>
    <row r="294" spans="2:13" ht="18" customHeight="1" x14ac:dyDescent="0.35">
      <c r="B294" s="23" t="s">
        <v>319</v>
      </c>
      <c r="C294" s="24" t="s">
        <v>64</v>
      </c>
      <c r="D294" s="172">
        <v>344.25</v>
      </c>
      <c r="E294" s="172">
        <v>370.99</v>
      </c>
      <c r="F294" s="172">
        <v>231.28</v>
      </c>
      <c r="G294" s="172">
        <v>223.17</v>
      </c>
      <c r="H294" s="172">
        <v>210.43</v>
      </c>
      <c r="I294" s="27" t="s">
        <v>69</v>
      </c>
      <c r="J294" s="48" t="s">
        <v>67</v>
      </c>
      <c r="L294" s="53"/>
    </row>
    <row r="295" spans="2:13" ht="18" customHeight="1" x14ac:dyDescent="0.35"/>
    <row r="296" spans="2:13" ht="18" customHeight="1" x14ac:dyDescent="0.35"/>
    <row r="297" spans="2:13" ht="18" customHeight="1" x14ac:dyDescent="0.35">
      <c r="L297" s="6"/>
    </row>
    <row r="298" spans="2:13" ht="18" customHeight="1" x14ac:dyDescent="0.35">
      <c r="L298" s="6"/>
    </row>
    <row r="299" spans="2:13" ht="18" customHeight="1" x14ac:dyDescent="0.35">
      <c r="L299" s="7"/>
    </row>
    <row r="300" spans="2:13" ht="18" customHeight="1" x14ac:dyDescent="0.35">
      <c r="L300" s="8"/>
      <c r="M300" s="8"/>
    </row>
    <row r="301" spans="2:13" ht="18" customHeight="1" x14ac:dyDescent="0.35">
      <c r="L301" s="7"/>
      <c r="M301" s="7"/>
    </row>
    <row r="302" spans="2:13" ht="18" customHeight="1" x14ac:dyDescent="0.35">
      <c r="L302" s="7"/>
      <c r="M302" s="7"/>
    </row>
    <row r="303" spans="2:13" ht="18" customHeight="1" x14ac:dyDescent="0.35"/>
    <row r="304" spans="2:13" ht="18" customHeight="1" x14ac:dyDescent="0.35">
      <c r="L304" s="53"/>
    </row>
    <row r="305" spans="12:13" ht="18" customHeight="1" x14ac:dyDescent="0.35">
      <c r="L305" s="53"/>
    </row>
    <row r="306" spans="12:13" ht="18" customHeight="1" x14ac:dyDescent="0.35"/>
    <row r="307" spans="12:13" ht="18" customHeight="1" x14ac:dyDescent="0.35"/>
    <row r="308" spans="12:13" ht="18" customHeight="1" x14ac:dyDescent="0.35">
      <c r="L308" s="6"/>
    </row>
    <row r="309" spans="12:13" ht="18" customHeight="1" x14ac:dyDescent="0.35">
      <c r="L309" s="6"/>
    </row>
    <row r="310" spans="12:13" ht="18" customHeight="1" x14ac:dyDescent="0.35">
      <c r="L310" s="7"/>
    </row>
    <row r="311" spans="12:13" ht="18" customHeight="1" x14ac:dyDescent="0.35">
      <c r="L311" s="8"/>
      <c r="M311" s="8"/>
    </row>
    <row r="312" spans="12:13" ht="18" customHeight="1" x14ac:dyDescent="0.35">
      <c r="L312" s="7"/>
      <c r="M312" s="7"/>
    </row>
    <row r="313" spans="12:13" ht="18" customHeight="1" x14ac:dyDescent="0.35">
      <c r="L313" s="7"/>
      <c r="M313" s="7"/>
    </row>
    <row r="314" spans="12:13" ht="18" customHeight="1" x14ac:dyDescent="0.35"/>
    <row r="315" spans="12:13" ht="18" customHeight="1" x14ac:dyDescent="0.35">
      <c r="L315" s="53"/>
    </row>
    <row r="316" spans="12:13" ht="18" customHeight="1" x14ac:dyDescent="0.35">
      <c r="L316" s="53"/>
    </row>
    <row r="319" spans="12:13" x14ac:dyDescent="0.35">
      <c r="L319" s="6"/>
    </row>
    <row r="320" spans="12:13" x14ac:dyDescent="0.35">
      <c r="L320" s="6"/>
    </row>
    <row r="321" spans="12:13" x14ac:dyDescent="0.35">
      <c r="L321" s="7"/>
    </row>
    <row r="322" spans="12:13" x14ac:dyDescent="0.35">
      <c r="L322" s="8"/>
      <c r="M322" s="8"/>
    </row>
    <row r="323" spans="12:13" x14ac:dyDescent="0.35">
      <c r="L323" s="7"/>
      <c r="M323" s="7"/>
    </row>
    <row r="324" spans="12:13" x14ac:dyDescent="0.35">
      <c r="L324" s="7"/>
      <c r="M324" s="7"/>
    </row>
  </sheetData>
  <mergeCells count="3">
    <mergeCell ref="A6:B6"/>
    <mergeCell ref="A2:E2"/>
    <mergeCell ref="A3:E3"/>
  </mergeCells>
  <pageMargins left="0.7" right="0.7" top="0.75" bottom="0.75" header="0.3" footer="0.3"/>
  <pageSetup orientation="portrait" r:id="rId1"/>
  <headerFooter>
    <oddFooter>&amp;C&amp;1#&amp;"Calibri"&amp;11&amp;Kffa500CONFIDENTIAL▮▮مقيّد</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K72"/>
  <sheetViews>
    <sheetView showGridLines="0" zoomScale="80" zoomScaleNormal="80" workbookViewId="0"/>
  </sheetViews>
  <sheetFormatPr defaultColWidth="8.81640625" defaultRowHeight="14.5" x14ac:dyDescent="0.35"/>
  <cols>
    <col min="3" max="3" width="17.81640625" bestFit="1" customWidth="1"/>
    <col min="4" max="9" width="30.1796875" customWidth="1"/>
    <col min="10" max="10" width="17.81640625" bestFit="1" customWidth="1"/>
    <col min="12" max="12" width="17.54296875" customWidth="1"/>
  </cols>
  <sheetData>
    <row r="1" spans="1:11" x14ac:dyDescent="0.35">
      <c r="A1" s="9" t="s">
        <v>524</v>
      </c>
    </row>
    <row r="2" spans="1:11" x14ac:dyDescent="0.35">
      <c r="A2" s="239"/>
      <c r="B2" s="239"/>
      <c r="C2" s="239"/>
      <c r="D2" s="239"/>
      <c r="E2" s="239"/>
      <c r="F2" s="239"/>
    </row>
    <row r="3" spans="1:11" x14ac:dyDescent="0.35">
      <c r="A3" s="239"/>
      <c r="B3" s="239"/>
      <c r="C3" s="239"/>
      <c r="D3" s="239"/>
      <c r="E3" s="239"/>
      <c r="F3" s="239"/>
    </row>
    <row r="4" spans="1:11" s="15" customFormat="1" ht="18" customHeight="1" x14ac:dyDescent="0.35">
      <c r="A4" s="10" t="s">
        <v>8</v>
      </c>
      <c r="B4" s="30" t="s">
        <v>116</v>
      </c>
      <c r="C4" s="13"/>
      <c r="D4" s="13"/>
      <c r="E4" s="13"/>
      <c r="F4" s="13"/>
      <c r="G4" s="13"/>
      <c r="H4" s="13"/>
      <c r="I4" s="13"/>
      <c r="J4" s="13"/>
      <c r="K4" s="31" t="s">
        <v>127</v>
      </c>
    </row>
    <row r="5" spans="1:11" ht="18" customHeight="1" x14ac:dyDescent="0.35">
      <c r="B5" s="59"/>
      <c r="C5" s="60"/>
      <c r="K5" s="59"/>
    </row>
    <row r="6" spans="1:11" s="59" customFormat="1" ht="60.75" customHeight="1" x14ac:dyDescent="0.35">
      <c r="C6" s="143" t="s">
        <v>99</v>
      </c>
      <c r="D6" s="99" t="s">
        <v>321</v>
      </c>
      <c r="E6" s="99" t="s">
        <v>322</v>
      </c>
      <c r="F6" s="99" t="s">
        <v>323</v>
      </c>
      <c r="G6" s="100" t="s">
        <v>114</v>
      </c>
      <c r="H6" s="99" t="s">
        <v>324</v>
      </c>
      <c r="I6" s="100" t="s">
        <v>325</v>
      </c>
      <c r="J6" s="142" t="s">
        <v>100</v>
      </c>
    </row>
    <row r="7" spans="1:11" s="59" customFormat="1" ht="20.65" customHeight="1" x14ac:dyDescent="0.35">
      <c r="C7" s="144" t="s">
        <v>24</v>
      </c>
      <c r="D7" s="111" t="s">
        <v>23</v>
      </c>
      <c r="E7" s="111" t="s">
        <v>23</v>
      </c>
      <c r="F7" s="111" t="s">
        <v>120</v>
      </c>
      <c r="G7" s="145" t="s">
        <v>121</v>
      </c>
      <c r="H7" s="145" t="s">
        <v>122</v>
      </c>
      <c r="I7" s="145" t="s">
        <v>122</v>
      </c>
      <c r="J7" s="146" t="s">
        <v>20</v>
      </c>
    </row>
    <row r="8" spans="1:11" x14ac:dyDescent="0.35">
      <c r="B8" s="233">
        <v>2021</v>
      </c>
      <c r="C8" s="64" t="s">
        <v>70</v>
      </c>
      <c r="D8" s="25">
        <v>232.76499999999999</v>
      </c>
      <c r="E8" s="25">
        <v>2342.1509999999998</v>
      </c>
      <c r="F8" s="25">
        <v>947.84132410000007</v>
      </c>
      <c r="G8" s="202">
        <v>10.062300623206893</v>
      </c>
      <c r="H8" s="25">
        <v>4072.1</v>
      </c>
      <c r="I8" s="25">
        <v>404.69</v>
      </c>
      <c r="J8" s="66" t="s">
        <v>86</v>
      </c>
      <c r="K8" s="236">
        <v>2021</v>
      </c>
    </row>
    <row r="9" spans="1:11" x14ac:dyDescent="0.35">
      <c r="B9" s="234"/>
      <c r="C9" s="64" t="s">
        <v>71</v>
      </c>
      <c r="D9" s="25">
        <v>125.032</v>
      </c>
      <c r="E9" s="25">
        <v>1250.771</v>
      </c>
      <c r="F9" s="25">
        <v>582.02915364</v>
      </c>
      <c r="G9" s="202">
        <v>10.003604181934952</v>
      </c>
      <c r="H9" s="25">
        <v>4655.04</v>
      </c>
      <c r="I9" s="25">
        <v>465.34</v>
      </c>
      <c r="J9" s="66" t="s">
        <v>87</v>
      </c>
      <c r="K9" s="237"/>
    </row>
    <row r="10" spans="1:11" x14ac:dyDescent="0.35">
      <c r="B10" s="234"/>
      <c r="C10" s="64" t="s">
        <v>72</v>
      </c>
      <c r="D10" s="25">
        <v>148.29400000000001</v>
      </c>
      <c r="E10" s="25">
        <v>1136.27</v>
      </c>
      <c r="F10" s="25">
        <v>502.98924412000002</v>
      </c>
      <c r="G10" s="202">
        <v>7.6622792944591778</v>
      </c>
      <c r="H10" s="25">
        <v>3391.84</v>
      </c>
      <c r="I10" s="25">
        <v>442.67</v>
      </c>
      <c r="J10" s="66" t="s">
        <v>88</v>
      </c>
      <c r="K10" s="237"/>
    </row>
    <row r="11" spans="1:11" x14ac:dyDescent="0.35">
      <c r="B11" s="234"/>
      <c r="C11" s="64" t="s">
        <v>73</v>
      </c>
      <c r="D11" s="25">
        <v>176.03100000000001</v>
      </c>
      <c r="E11" s="25">
        <v>1393.8910000000001</v>
      </c>
      <c r="F11" s="25">
        <v>800.80805476</v>
      </c>
      <c r="G11" s="202">
        <v>7.9184314047664728</v>
      </c>
      <c r="H11" s="25">
        <v>4549.24</v>
      </c>
      <c r="I11" s="25">
        <v>574.51</v>
      </c>
      <c r="J11" s="66" t="s">
        <v>89</v>
      </c>
      <c r="K11" s="237"/>
    </row>
    <row r="12" spans="1:11" x14ac:dyDescent="0.35">
      <c r="B12" s="234"/>
      <c r="C12" s="64" t="s">
        <v>74</v>
      </c>
      <c r="D12" s="25">
        <v>184.845</v>
      </c>
      <c r="E12" s="25">
        <v>1186.067</v>
      </c>
      <c r="F12" s="25">
        <v>744.94824796</v>
      </c>
      <c r="G12" s="202">
        <v>6.4165451059675407</v>
      </c>
      <c r="H12" s="25">
        <v>4030.12</v>
      </c>
      <c r="I12" s="25">
        <v>628.08000000000004</v>
      </c>
      <c r="J12" s="66" t="s">
        <v>90</v>
      </c>
      <c r="K12" s="237"/>
    </row>
    <row r="13" spans="1:11" x14ac:dyDescent="0.35">
      <c r="B13" s="234"/>
      <c r="C13" s="64" t="s">
        <v>75</v>
      </c>
      <c r="D13" s="25">
        <v>175.43100000000001</v>
      </c>
      <c r="E13" s="25">
        <v>1174.27</v>
      </c>
      <c r="F13" s="25">
        <v>793.62970137000002</v>
      </c>
      <c r="G13" s="202">
        <v>6.6936201502252191</v>
      </c>
      <c r="H13" s="25">
        <v>4523.88</v>
      </c>
      <c r="I13" s="25">
        <v>675.85</v>
      </c>
      <c r="J13" s="66" t="s">
        <v>91</v>
      </c>
      <c r="K13" s="237"/>
    </row>
    <row r="14" spans="1:11" x14ac:dyDescent="0.35">
      <c r="B14" s="234"/>
      <c r="C14" s="64" t="s">
        <v>76</v>
      </c>
      <c r="D14" s="25">
        <v>231.29499999999999</v>
      </c>
      <c r="E14" s="25">
        <v>1721.568</v>
      </c>
      <c r="F14" s="25">
        <v>995.75418746000003</v>
      </c>
      <c r="G14" s="202">
        <v>7.4431639830290335</v>
      </c>
      <c r="H14" s="25">
        <v>4305.12</v>
      </c>
      <c r="I14" s="25">
        <v>578.4</v>
      </c>
      <c r="J14" s="66" t="s">
        <v>92</v>
      </c>
      <c r="K14" s="237"/>
    </row>
    <row r="15" spans="1:11" x14ac:dyDescent="0.35">
      <c r="B15" s="234"/>
      <c r="C15" s="64" t="s">
        <v>77</v>
      </c>
      <c r="D15" s="25">
        <v>257.36399999999998</v>
      </c>
      <c r="E15" s="25">
        <v>1897.5170000000001</v>
      </c>
      <c r="F15" s="25">
        <v>966.01680898000006</v>
      </c>
      <c r="G15" s="202">
        <v>7.3728890743333766</v>
      </c>
      <c r="H15" s="25">
        <v>3753.5</v>
      </c>
      <c r="I15" s="25">
        <v>509.1</v>
      </c>
      <c r="J15" s="66" t="s">
        <v>93</v>
      </c>
      <c r="K15" s="237"/>
    </row>
    <row r="16" spans="1:11" x14ac:dyDescent="0.35">
      <c r="B16" s="234"/>
      <c r="C16" s="64" t="s">
        <v>78</v>
      </c>
      <c r="D16" s="25">
        <v>308.16300000000001</v>
      </c>
      <c r="E16" s="25">
        <v>2374.9470000000001</v>
      </c>
      <c r="F16" s="25">
        <v>1111.00113186</v>
      </c>
      <c r="G16" s="202">
        <v>7.7067874616964112</v>
      </c>
      <c r="H16" s="25">
        <v>3605.24</v>
      </c>
      <c r="I16" s="25">
        <v>467.8</v>
      </c>
      <c r="J16" s="66" t="s">
        <v>94</v>
      </c>
      <c r="K16" s="237"/>
    </row>
    <row r="17" spans="2:11" x14ac:dyDescent="0.35">
      <c r="B17" s="234"/>
      <c r="C17" s="64" t="s">
        <v>79</v>
      </c>
      <c r="D17" s="25">
        <v>452.98500000000001</v>
      </c>
      <c r="E17" s="25">
        <v>5024.9759999999997</v>
      </c>
      <c r="F17" s="25">
        <v>1932.9964391300002</v>
      </c>
      <c r="G17" s="202">
        <v>11.093036923865368</v>
      </c>
      <c r="H17" s="25">
        <v>4267.24</v>
      </c>
      <c r="I17" s="25">
        <v>384.68</v>
      </c>
      <c r="J17" s="66" t="s">
        <v>95</v>
      </c>
      <c r="K17" s="237"/>
    </row>
    <row r="18" spans="2:11" x14ac:dyDescent="0.35">
      <c r="B18" s="234"/>
      <c r="C18" s="64" t="s">
        <v>80</v>
      </c>
      <c r="D18" s="25">
        <v>493.59300000000002</v>
      </c>
      <c r="E18" s="25">
        <v>4908.7849999999999</v>
      </c>
      <c r="F18" s="25">
        <v>2240.41652707</v>
      </c>
      <c r="G18" s="202">
        <v>9.945000880896016</v>
      </c>
      <c r="H18" s="25">
        <v>4538.99</v>
      </c>
      <c r="I18" s="25">
        <v>456.41</v>
      </c>
      <c r="J18" s="66" t="s">
        <v>96</v>
      </c>
      <c r="K18" s="237"/>
    </row>
    <row r="19" spans="2:11" x14ac:dyDescent="0.35">
      <c r="B19" s="235"/>
      <c r="C19" s="64" t="s">
        <v>81</v>
      </c>
      <c r="D19" s="25">
        <v>691.41800000000001</v>
      </c>
      <c r="E19" s="25">
        <v>7360.1679999999997</v>
      </c>
      <c r="F19" s="25">
        <v>3097.1165700300003</v>
      </c>
      <c r="G19" s="202">
        <v>10.645040750789086</v>
      </c>
      <c r="H19" s="25">
        <v>4479.37</v>
      </c>
      <c r="I19" s="25">
        <v>420.79</v>
      </c>
      <c r="J19" s="66" t="s">
        <v>97</v>
      </c>
      <c r="K19" s="238"/>
    </row>
    <row r="20" spans="2:11" ht="18" customHeight="1" x14ac:dyDescent="0.35">
      <c r="B20" s="67"/>
      <c r="C20" s="68" t="s">
        <v>85</v>
      </c>
      <c r="D20" s="5">
        <v>3477.2159999999999</v>
      </c>
      <c r="E20" s="5">
        <v>31771.381000000001</v>
      </c>
      <c r="F20" s="5">
        <v>14715.547390489999</v>
      </c>
      <c r="G20" s="203">
        <v>9.1370159361964802</v>
      </c>
      <c r="H20" s="5">
        <v>4231.99</v>
      </c>
      <c r="I20" s="5">
        <v>463.17</v>
      </c>
      <c r="J20" s="147" t="s">
        <v>98</v>
      </c>
      <c r="K20" s="71"/>
    </row>
    <row r="21" spans="2:11" x14ac:dyDescent="0.35">
      <c r="B21" s="233">
        <v>2022</v>
      </c>
      <c r="C21" s="64" t="s">
        <v>70</v>
      </c>
      <c r="D21" s="25">
        <v>548.93600000000004</v>
      </c>
      <c r="E21" s="25">
        <v>10615.027</v>
      </c>
      <c r="F21" s="25">
        <v>3147.1706151799999</v>
      </c>
      <c r="G21" s="202">
        <v>19.33746183577934</v>
      </c>
      <c r="H21" s="25">
        <v>5733.22</v>
      </c>
      <c r="I21" s="25">
        <v>296.48</v>
      </c>
      <c r="J21" s="66" t="s">
        <v>86</v>
      </c>
      <c r="K21" s="236">
        <v>2022</v>
      </c>
    </row>
    <row r="22" spans="2:11" x14ac:dyDescent="0.35">
      <c r="B22" s="234"/>
      <c r="C22" s="64" t="s">
        <v>71</v>
      </c>
      <c r="D22" s="25">
        <v>689.04</v>
      </c>
      <c r="E22" s="25">
        <v>13206.486000000001</v>
      </c>
      <c r="F22" s="25">
        <v>4778.0758670600007</v>
      </c>
      <c r="G22" s="202">
        <v>19.166509262572934</v>
      </c>
      <c r="H22" s="25">
        <v>6934.4</v>
      </c>
      <c r="I22" s="25">
        <v>361.8</v>
      </c>
      <c r="J22" s="66" t="s">
        <v>87</v>
      </c>
      <c r="K22" s="237"/>
    </row>
    <row r="23" spans="2:11" x14ac:dyDescent="0.35">
      <c r="B23" s="234"/>
      <c r="C23" s="64" t="s">
        <v>72</v>
      </c>
      <c r="D23" s="25">
        <v>1217.114</v>
      </c>
      <c r="E23" s="25">
        <v>20215.55</v>
      </c>
      <c r="F23" s="25">
        <v>7708.4472326699997</v>
      </c>
      <c r="G23" s="202">
        <v>16.609417621370287</v>
      </c>
      <c r="H23" s="25">
        <v>6333.38</v>
      </c>
      <c r="I23" s="25">
        <v>381.31</v>
      </c>
      <c r="J23" s="66" t="s">
        <v>88</v>
      </c>
      <c r="K23" s="237"/>
    </row>
    <row r="24" spans="2:11" x14ac:dyDescent="0.35">
      <c r="B24" s="234"/>
      <c r="C24" s="64" t="s">
        <v>73</v>
      </c>
      <c r="D24" s="25">
        <v>1612.4870000000001</v>
      </c>
      <c r="E24" s="25">
        <v>29395.953000000001</v>
      </c>
      <c r="F24" s="25">
        <v>12214.308726969999</v>
      </c>
      <c r="G24" s="202">
        <v>18.230196672548544</v>
      </c>
      <c r="H24" s="25">
        <v>7574.83</v>
      </c>
      <c r="I24" s="25">
        <v>415.51</v>
      </c>
      <c r="J24" s="66" t="s">
        <v>89</v>
      </c>
      <c r="K24" s="237"/>
    </row>
    <row r="25" spans="2:11" x14ac:dyDescent="0.35">
      <c r="B25" s="234"/>
      <c r="C25" s="64" t="s">
        <v>74</v>
      </c>
      <c r="D25" s="25">
        <v>1104.3710000000001</v>
      </c>
      <c r="E25" s="25">
        <v>16545.273000000001</v>
      </c>
      <c r="F25" s="25">
        <v>5852.7355434499996</v>
      </c>
      <c r="G25" s="202">
        <v>14.981627955963416</v>
      </c>
      <c r="H25" s="25">
        <v>5299.61</v>
      </c>
      <c r="I25" s="25">
        <v>353.74</v>
      </c>
      <c r="J25" s="66" t="s">
        <v>90</v>
      </c>
      <c r="K25" s="237"/>
    </row>
    <row r="26" spans="2:11" x14ac:dyDescent="0.35">
      <c r="B26" s="234"/>
      <c r="C26" s="64" t="s">
        <v>75</v>
      </c>
      <c r="D26" s="25">
        <v>867.21600000000001</v>
      </c>
      <c r="E26" s="25">
        <v>12055.404</v>
      </c>
      <c r="F26" s="25">
        <v>3717.6710721599998</v>
      </c>
      <c r="G26" s="202">
        <v>13.901267058088573</v>
      </c>
      <c r="H26" s="25">
        <v>4286.8999999999996</v>
      </c>
      <c r="I26" s="25">
        <v>308.38</v>
      </c>
      <c r="J26" s="66" t="s">
        <v>91</v>
      </c>
      <c r="K26" s="237"/>
    </row>
    <row r="27" spans="2:11" x14ac:dyDescent="0.35">
      <c r="B27" s="234"/>
      <c r="C27" s="64" t="s">
        <v>76</v>
      </c>
      <c r="D27" s="25">
        <v>1765.626</v>
      </c>
      <c r="E27" s="25">
        <v>18939.346000000001</v>
      </c>
      <c r="F27" s="25">
        <v>15806.05467007</v>
      </c>
      <c r="G27" s="202">
        <v>10.726701747967869</v>
      </c>
      <c r="H27" s="25">
        <v>8952.1</v>
      </c>
      <c r="I27" s="25">
        <v>834.56</v>
      </c>
      <c r="J27" s="66" t="s">
        <v>92</v>
      </c>
      <c r="K27" s="237"/>
    </row>
    <row r="28" spans="2:11" x14ac:dyDescent="0.35">
      <c r="B28" s="234"/>
      <c r="C28" s="64" t="s">
        <v>77</v>
      </c>
      <c r="D28" s="25">
        <v>1310.5730000000001</v>
      </c>
      <c r="E28" s="25">
        <v>22314.546999999999</v>
      </c>
      <c r="F28" s="25">
        <v>7867.7924312100004</v>
      </c>
      <c r="G28" s="202">
        <v>17.026564047617772</v>
      </c>
      <c r="H28" s="25">
        <v>6003.32</v>
      </c>
      <c r="I28" s="25">
        <v>352.59</v>
      </c>
      <c r="J28" s="66" t="s">
        <v>93</v>
      </c>
      <c r="K28" s="237"/>
    </row>
    <row r="29" spans="2:11" x14ac:dyDescent="0.35">
      <c r="B29" s="234"/>
      <c r="C29" s="64" t="s">
        <v>78</v>
      </c>
      <c r="D29" s="25">
        <v>1538.9770000000001</v>
      </c>
      <c r="E29" s="25">
        <v>30331.272000000001</v>
      </c>
      <c r="F29" s="25">
        <v>7718.1556542600001</v>
      </c>
      <c r="G29" s="202">
        <v>19.708719650222218</v>
      </c>
      <c r="H29" s="25">
        <v>5015.12</v>
      </c>
      <c r="I29" s="25">
        <v>254.46</v>
      </c>
      <c r="J29" s="66" t="s">
        <v>94</v>
      </c>
      <c r="K29" s="237"/>
    </row>
    <row r="30" spans="2:11" x14ac:dyDescent="0.35">
      <c r="B30" s="234"/>
      <c r="C30" s="64" t="s">
        <v>79</v>
      </c>
      <c r="D30" s="25">
        <v>1752.7739999999999</v>
      </c>
      <c r="E30" s="25">
        <v>30483.525000000001</v>
      </c>
      <c r="F30" s="25">
        <v>8885.7209502199985</v>
      </c>
      <c r="G30" s="202">
        <v>17.391590502567016</v>
      </c>
      <c r="H30" s="25">
        <v>5069.5200000000004</v>
      </c>
      <c r="I30" s="25">
        <v>291.49</v>
      </c>
      <c r="J30" s="66" t="s">
        <v>95</v>
      </c>
      <c r="K30" s="237"/>
    </row>
    <row r="31" spans="2:11" x14ac:dyDescent="0.35">
      <c r="B31" s="234"/>
      <c r="C31" s="64" t="s">
        <v>80</v>
      </c>
      <c r="D31" s="25">
        <v>1840.021</v>
      </c>
      <c r="E31" s="25">
        <v>29667.311000000002</v>
      </c>
      <c r="F31" s="25">
        <v>8538.9262738800007</v>
      </c>
      <c r="G31" s="202">
        <v>16.123353913586442</v>
      </c>
      <c r="H31" s="25">
        <v>4640.67</v>
      </c>
      <c r="I31" s="25">
        <v>287.82</v>
      </c>
      <c r="J31" s="66" t="s">
        <v>96</v>
      </c>
      <c r="K31" s="237"/>
    </row>
    <row r="32" spans="2:11" x14ac:dyDescent="0.35">
      <c r="B32" s="235"/>
      <c r="C32" s="64" t="s">
        <v>81</v>
      </c>
      <c r="D32" s="25">
        <v>2390.7260000000001</v>
      </c>
      <c r="E32" s="25">
        <v>36958.487000000001</v>
      </c>
      <c r="F32" s="25">
        <v>12059.526178010001</v>
      </c>
      <c r="G32" s="202">
        <v>15.459104097336315</v>
      </c>
      <c r="H32" s="25">
        <v>5044.29</v>
      </c>
      <c r="I32" s="25">
        <v>326.3</v>
      </c>
      <c r="J32" s="66" t="s">
        <v>97</v>
      </c>
      <c r="K32" s="238"/>
    </row>
    <row r="33" spans="2:11" x14ac:dyDescent="0.35">
      <c r="B33" s="67"/>
      <c r="C33" s="68" t="s">
        <v>85</v>
      </c>
      <c r="D33" s="5">
        <v>16637.861000000001</v>
      </c>
      <c r="E33" s="5">
        <v>270728.18199999997</v>
      </c>
      <c r="F33" s="5">
        <v>98294.585215140003</v>
      </c>
      <c r="G33" s="203">
        <v>16.271814543326563</v>
      </c>
      <c r="H33" s="5">
        <v>5907.89</v>
      </c>
      <c r="I33" s="5">
        <v>363.07</v>
      </c>
      <c r="J33" s="147" t="s">
        <v>98</v>
      </c>
      <c r="K33" s="71"/>
    </row>
    <row r="34" spans="2:11" x14ac:dyDescent="0.35">
      <c r="B34" s="233">
        <v>2023</v>
      </c>
      <c r="C34" s="64" t="s">
        <v>70</v>
      </c>
      <c r="D34" s="25">
        <v>2481.8690000000001</v>
      </c>
      <c r="E34" s="25">
        <v>35031.946000000004</v>
      </c>
      <c r="F34" s="25">
        <v>10572.175299049999</v>
      </c>
      <c r="G34" s="202">
        <v>14.115147092775645</v>
      </c>
      <c r="H34" s="25">
        <v>4259.76</v>
      </c>
      <c r="I34" s="25">
        <v>301.79000000000002</v>
      </c>
      <c r="J34" s="66" t="s">
        <v>86</v>
      </c>
      <c r="K34" s="236">
        <v>2023</v>
      </c>
    </row>
    <row r="35" spans="2:11" x14ac:dyDescent="0.35">
      <c r="B35" s="234"/>
      <c r="C35" s="64" t="s">
        <v>71</v>
      </c>
      <c r="D35" s="25">
        <v>2455.777</v>
      </c>
      <c r="E35" s="25">
        <v>35628.207999999999</v>
      </c>
      <c r="F35" s="25">
        <v>11704.957341860001</v>
      </c>
      <c r="G35" s="202">
        <v>14.507916639010789</v>
      </c>
      <c r="H35" s="25">
        <v>4766.29</v>
      </c>
      <c r="I35" s="25">
        <v>328.53</v>
      </c>
      <c r="J35" s="66" t="s">
        <v>87</v>
      </c>
      <c r="K35" s="237"/>
    </row>
    <row r="36" spans="2:11" x14ac:dyDescent="0.35">
      <c r="B36" s="234"/>
      <c r="C36" s="64" t="s">
        <v>72</v>
      </c>
      <c r="D36" s="25">
        <v>2869.547</v>
      </c>
      <c r="E36" s="25">
        <v>56788.224000000002</v>
      </c>
      <c r="F36" s="25">
        <v>17297.58982528</v>
      </c>
      <c r="G36" s="202">
        <v>19.789961272632929</v>
      </c>
      <c r="H36" s="25">
        <v>6027.99</v>
      </c>
      <c r="I36" s="25">
        <v>304.60000000000002</v>
      </c>
      <c r="J36" s="66" t="s">
        <v>88</v>
      </c>
      <c r="K36" s="237"/>
    </row>
    <row r="37" spans="2:11" x14ac:dyDescent="0.35">
      <c r="B37" s="234"/>
      <c r="C37" s="64" t="s">
        <v>73</v>
      </c>
      <c r="D37" s="25">
        <v>2424.1410000000001</v>
      </c>
      <c r="E37" s="25">
        <v>42783.599000000002</v>
      </c>
      <c r="F37" s="25">
        <v>12963.96257371</v>
      </c>
      <c r="G37" s="202">
        <v>17.648972976406899</v>
      </c>
      <c r="H37" s="25">
        <v>5347.86</v>
      </c>
      <c r="I37" s="25">
        <v>303.01</v>
      </c>
      <c r="J37" s="66" t="s">
        <v>89</v>
      </c>
      <c r="K37" s="237"/>
    </row>
    <row r="38" spans="2:11" x14ac:dyDescent="0.35">
      <c r="B38" s="234"/>
      <c r="C38" s="64" t="s">
        <v>74</v>
      </c>
      <c r="D38" s="25">
        <v>1514.4</v>
      </c>
      <c r="E38" s="25">
        <v>31927.199000000001</v>
      </c>
      <c r="F38" s="25">
        <v>9163.9280874300002</v>
      </c>
      <c r="G38" s="202">
        <v>21.082408214474381</v>
      </c>
      <c r="H38" s="25">
        <v>6051.19</v>
      </c>
      <c r="I38" s="25">
        <v>287.02999999999997</v>
      </c>
      <c r="J38" s="66" t="s">
        <v>90</v>
      </c>
      <c r="K38" s="237"/>
    </row>
    <row r="39" spans="2:11" x14ac:dyDescent="0.35">
      <c r="B39" s="234"/>
      <c r="C39" s="64" t="s">
        <v>75</v>
      </c>
      <c r="D39" s="25">
        <v>2847.4949999999999</v>
      </c>
      <c r="E39" s="25">
        <v>59436.324000000001</v>
      </c>
      <c r="F39" s="25">
        <v>30290.16650385</v>
      </c>
      <c r="G39" s="202">
        <v>20.873196967861226</v>
      </c>
      <c r="H39" s="25">
        <v>10637.48</v>
      </c>
      <c r="I39" s="25">
        <v>509.62</v>
      </c>
      <c r="J39" s="66" t="s">
        <v>91</v>
      </c>
      <c r="K39" s="237"/>
    </row>
    <row r="40" spans="2:11" x14ac:dyDescent="0.35">
      <c r="B40" s="234"/>
      <c r="C40" s="64" t="s">
        <v>76</v>
      </c>
      <c r="D40" s="25">
        <v>1349.77</v>
      </c>
      <c r="E40" s="25">
        <v>16326.708000000001</v>
      </c>
      <c r="F40" s="25">
        <v>4974.4647569399995</v>
      </c>
      <c r="G40" s="202">
        <v>12.09591856390348</v>
      </c>
      <c r="H40" s="25">
        <v>3685.42</v>
      </c>
      <c r="I40" s="25">
        <v>304.68</v>
      </c>
      <c r="J40" s="66" t="s">
        <v>92</v>
      </c>
      <c r="K40" s="237"/>
    </row>
    <row r="41" spans="2:11" x14ac:dyDescent="0.35">
      <c r="B41" s="234"/>
      <c r="C41" s="64" t="s">
        <v>77</v>
      </c>
      <c r="D41" s="25">
        <v>2109.2330000000002</v>
      </c>
      <c r="E41" s="25">
        <v>26729.513999999999</v>
      </c>
      <c r="F41" s="25">
        <v>6952.6174930899997</v>
      </c>
      <c r="G41" s="202">
        <v>12.672622702186056</v>
      </c>
      <c r="H41" s="25">
        <v>3296.28</v>
      </c>
      <c r="I41" s="25">
        <v>260.11</v>
      </c>
      <c r="J41" s="66" t="s">
        <v>93</v>
      </c>
      <c r="K41" s="237"/>
    </row>
    <row r="42" spans="2:11" x14ac:dyDescent="0.35">
      <c r="B42" s="234"/>
      <c r="C42" s="64" t="s">
        <v>78</v>
      </c>
      <c r="D42" s="25">
        <v>2039.9179999999999</v>
      </c>
      <c r="E42" s="25">
        <v>28142.271000000001</v>
      </c>
      <c r="F42" s="25">
        <v>7735.39072184</v>
      </c>
      <c r="G42" s="202">
        <v>13.795785418825659</v>
      </c>
      <c r="H42" s="25">
        <v>3792.01</v>
      </c>
      <c r="I42" s="25">
        <v>274.87</v>
      </c>
      <c r="J42" s="66" t="s">
        <v>94</v>
      </c>
      <c r="K42" s="237"/>
    </row>
    <row r="43" spans="2:11" x14ac:dyDescent="0.35">
      <c r="B43" s="234"/>
      <c r="C43" s="64" t="s">
        <v>79</v>
      </c>
      <c r="D43" s="25">
        <v>2191.0390000000002</v>
      </c>
      <c r="E43" s="25">
        <v>30203.403999999999</v>
      </c>
      <c r="F43" s="25">
        <v>9159.4775986200002</v>
      </c>
      <c r="G43" s="202">
        <v>13.784968683807088</v>
      </c>
      <c r="H43" s="25">
        <v>4180.43</v>
      </c>
      <c r="I43" s="25">
        <v>303.26</v>
      </c>
      <c r="J43" s="66" t="s">
        <v>95</v>
      </c>
      <c r="K43" s="237"/>
    </row>
    <row r="44" spans="2:11" x14ac:dyDescent="0.35">
      <c r="B44" s="234"/>
      <c r="C44" s="64" t="s">
        <v>80</v>
      </c>
      <c r="D44" s="25">
        <v>2237.558</v>
      </c>
      <c r="E44" s="25">
        <v>34673.360000000001</v>
      </c>
      <c r="F44" s="25">
        <v>9790.0473987500009</v>
      </c>
      <c r="G44" s="202">
        <v>15.496072057126565</v>
      </c>
      <c r="H44" s="25">
        <v>4375.33</v>
      </c>
      <c r="I44" s="25">
        <v>282.35000000000002</v>
      </c>
      <c r="J44" s="66" t="s">
        <v>96</v>
      </c>
      <c r="K44" s="237"/>
    </row>
    <row r="45" spans="2:11" x14ac:dyDescent="0.35">
      <c r="B45" s="235"/>
      <c r="C45" s="64" t="s">
        <v>81</v>
      </c>
      <c r="D45" s="25">
        <v>2902.7890000000002</v>
      </c>
      <c r="E45" s="25">
        <v>34628.588000000003</v>
      </c>
      <c r="F45" s="25">
        <v>10629.201217670001</v>
      </c>
      <c r="G45" s="202">
        <v>11.929419603009382</v>
      </c>
      <c r="H45" s="25">
        <v>3661.72</v>
      </c>
      <c r="I45" s="25">
        <v>306.95</v>
      </c>
      <c r="J45" s="66" t="s">
        <v>97</v>
      </c>
      <c r="K45" s="238"/>
    </row>
    <row r="46" spans="2:11" x14ac:dyDescent="0.35">
      <c r="B46" s="67"/>
      <c r="C46" s="68" t="s">
        <v>85</v>
      </c>
      <c r="D46" s="5">
        <v>27423.536</v>
      </c>
      <c r="E46" s="5">
        <v>432299.34499999997</v>
      </c>
      <c r="F46" s="5">
        <v>141233.97881808999</v>
      </c>
      <c r="G46" s="203">
        <v>15.763807592135457</v>
      </c>
      <c r="H46" s="5">
        <v>5150.1000000000004</v>
      </c>
      <c r="I46" s="5">
        <v>326.7</v>
      </c>
      <c r="J46" s="147" t="s">
        <v>98</v>
      </c>
      <c r="K46" s="71"/>
    </row>
    <row r="47" spans="2:11" x14ac:dyDescent="0.35">
      <c r="B47" s="233">
        <v>2024</v>
      </c>
      <c r="C47" s="64" t="s">
        <v>70</v>
      </c>
      <c r="D47" s="25">
        <v>3134.7530000000002</v>
      </c>
      <c r="E47" s="25">
        <v>45840.491000000002</v>
      </c>
      <c r="F47" s="25">
        <v>12362.91845684</v>
      </c>
      <c r="G47" s="202">
        <v>14.62</v>
      </c>
      <c r="H47" s="25">
        <v>3943.83</v>
      </c>
      <c r="I47" s="25">
        <v>269.69</v>
      </c>
      <c r="J47" s="66" t="s">
        <v>86</v>
      </c>
      <c r="K47" s="236">
        <v>2024</v>
      </c>
    </row>
    <row r="48" spans="2:11" x14ac:dyDescent="0.35">
      <c r="B48" s="234"/>
      <c r="C48" s="64" t="s">
        <v>71</v>
      </c>
      <c r="D48" s="25">
        <v>3111.1849999999999</v>
      </c>
      <c r="E48" s="25">
        <v>50816.131999999998</v>
      </c>
      <c r="F48" s="25">
        <v>15907.0646163</v>
      </c>
      <c r="G48" s="202">
        <v>16.329999999999998</v>
      </c>
      <c r="H48" s="25">
        <v>5112.8599999999997</v>
      </c>
      <c r="I48" s="25">
        <v>313.02999999999997</v>
      </c>
      <c r="J48" s="66" t="s">
        <v>87</v>
      </c>
      <c r="K48" s="237"/>
    </row>
    <row r="49" spans="2:11" x14ac:dyDescent="0.35">
      <c r="B49" s="234"/>
      <c r="C49" s="64" t="s">
        <v>72</v>
      </c>
      <c r="D49" s="25">
        <v>3160.9670000000001</v>
      </c>
      <c r="E49" s="25">
        <v>66453.817999999999</v>
      </c>
      <c r="F49" s="25">
        <v>17522.90244378</v>
      </c>
      <c r="G49" s="202">
        <v>21.02</v>
      </c>
      <c r="H49" s="25">
        <v>5543.53</v>
      </c>
      <c r="I49" s="25">
        <v>263.69</v>
      </c>
      <c r="J49" s="66" t="s">
        <v>88</v>
      </c>
      <c r="K49" s="237"/>
    </row>
    <row r="50" spans="2:11" x14ac:dyDescent="0.35">
      <c r="B50" s="234"/>
      <c r="C50" s="64" t="s">
        <v>73</v>
      </c>
      <c r="D50" s="25">
        <v>2056.2950000000001</v>
      </c>
      <c r="E50" s="25">
        <v>35516.025000000001</v>
      </c>
      <c r="F50" s="25">
        <v>10459.94328659</v>
      </c>
      <c r="G50" s="202">
        <v>17.27</v>
      </c>
      <c r="H50" s="25">
        <v>5086.79</v>
      </c>
      <c r="I50" s="25">
        <v>294.51</v>
      </c>
      <c r="J50" s="66" t="s">
        <v>89</v>
      </c>
      <c r="K50" s="237"/>
    </row>
    <row r="51" spans="2:11" x14ac:dyDescent="0.35">
      <c r="B51" s="234"/>
      <c r="C51" s="64" t="s">
        <v>74</v>
      </c>
      <c r="D51" s="25">
        <v>1504.038</v>
      </c>
      <c r="E51" s="25">
        <v>41832.171000000002</v>
      </c>
      <c r="F51" s="25">
        <v>8166.0025753599994</v>
      </c>
      <c r="G51" s="202">
        <v>27.81</v>
      </c>
      <c r="H51" s="25">
        <v>5429.39</v>
      </c>
      <c r="I51" s="25">
        <v>195.21</v>
      </c>
      <c r="J51" s="66" t="s">
        <v>90</v>
      </c>
      <c r="K51" s="237"/>
    </row>
    <row r="52" spans="2:11" x14ac:dyDescent="0.35">
      <c r="B52" s="234"/>
      <c r="C52" s="64" t="s">
        <v>75</v>
      </c>
      <c r="D52" s="25">
        <v>2789.54</v>
      </c>
      <c r="E52" s="25">
        <v>75612.2</v>
      </c>
      <c r="F52" s="25">
        <v>29848.604636979999</v>
      </c>
      <c r="G52" s="202">
        <v>27.11</v>
      </c>
      <c r="H52" s="25">
        <v>10700.19</v>
      </c>
      <c r="I52" s="25">
        <v>394.76</v>
      </c>
      <c r="J52" s="66" t="s">
        <v>91</v>
      </c>
      <c r="K52" s="237"/>
    </row>
    <row r="53" spans="2:11" x14ac:dyDescent="0.35">
      <c r="B53" s="234"/>
      <c r="C53" s="64" t="s">
        <v>76</v>
      </c>
      <c r="D53" s="25">
        <v>1755.7380000000001</v>
      </c>
      <c r="E53" s="25">
        <v>35711.260999999999</v>
      </c>
      <c r="F53" s="25">
        <v>8717.6999805100004</v>
      </c>
      <c r="G53" s="202">
        <v>20.34</v>
      </c>
      <c r="H53" s="25">
        <v>4965.26</v>
      </c>
      <c r="I53" s="25">
        <v>244.12</v>
      </c>
      <c r="J53" s="66" t="s">
        <v>92</v>
      </c>
      <c r="K53" s="237"/>
    </row>
    <row r="54" spans="2:11" x14ac:dyDescent="0.35">
      <c r="B54" s="234"/>
      <c r="C54" s="64" t="s">
        <v>77</v>
      </c>
      <c r="D54" s="25">
        <v>2138.4119999999998</v>
      </c>
      <c r="E54" s="25">
        <v>36346.563000000002</v>
      </c>
      <c r="F54" s="25">
        <v>9681.9481528600008</v>
      </c>
      <c r="G54" s="202">
        <v>17</v>
      </c>
      <c r="H54" s="25">
        <v>4527.63</v>
      </c>
      <c r="I54" s="25">
        <v>266.38</v>
      </c>
      <c r="J54" s="66" t="s">
        <v>93</v>
      </c>
      <c r="K54" s="237"/>
    </row>
    <row r="55" spans="2:11" x14ac:dyDescent="0.35">
      <c r="B55" s="234"/>
      <c r="C55" s="64" t="s">
        <v>78</v>
      </c>
      <c r="D55" s="25">
        <v>1971.5060000000001</v>
      </c>
      <c r="E55" s="25">
        <v>37072.805</v>
      </c>
      <c r="F55" s="25">
        <v>10410.173378950001</v>
      </c>
      <c r="G55" s="202">
        <v>18.8</v>
      </c>
      <c r="H55" s="25">
        <v>5280.32</v>
      </c>
      <c r="I55" s="25">
        <v>280.8</v>
      </c>
      <c r="J55" s="66" t="s">
        <v>94</v>
      </c>
      <c r="K55" s="237"/>
    </row>
    <row r="56" spans="2:11" x14ac:dyDescent="0.35">
      <c r="B56" s="234"/>
      <c r="C56" s="64" t="s">
        <v>79</v>
      </c>
      <c r="D56" s="25">
        <v>2416.5970000000002</v>
      </c>
      <c r="E56" s="25">
        <v>43096.04</v>
      </c>
      <c r="F56" s="25">
        <v>14591.74583582</v>
      </c>
      <c r="G56" s="202">
        <v>17.829999999999998</v>
      </c>
      <c r="H56" s="25">
        <v>6038.14</v>
      </c>
      <c r="I56" s="25">
        <v>338.59</v>
      </c>
      <c r="J56" s="66" t="s">
        <v>95</v>
      </c>
      <c r="K56" s="237"/>
    </row>
    <row r="57" spans="2:11" x14ac:dyDescent="0.35">
      <c r="B57" s="234"/>
      <c r="C57" s="64" t="s">
        <v>80</v>
      </c>
      <c r="D57" s="25">
        <v>2541.6469999999999</v>
      </c>
      <c r="E57" s="25">
        <v>43134.46</v>
      </c>
      <c r="F57" s="25">
        <v>13587.384235580001</v>
      </c>
      <c r="G57" s="202">
        <v>16.97</v>
      </c>
      <c r="H57" s="25">
        <v>5345.9</v>
      </c>
      <c r="I57" s="25">
        <v>315</v>
      </c>
      <c r="J57" s="66" t="s">
        <v>96</v>
      </c>
      <c r="K57" s="237"/>
    </row>
    <row r="58" spans="2:11" x14ac:dyDescent="0.35">
      <c r="B58" s="235"/>
      <c r="C58" s="64" t="s">
        <v>81</v>
      </c>
      <c r="D58" s="25">
        <v>3146.7649999999999</v>
      </c>
      <c r="E58" s="25">
        <v>48795.226000000002</v>
      </c>
      <c r="F58" s="25">
        <v>17267.78674675</v>
      </c>
      <c r="G58" s="202">
        <v>15.51</v>
      </c>
      <c r="H58" s="25">
        <v>5487.47</v>
      </c>
      <c r="I58" s="25">
        <v>353.88</v>
      </c>
      <c r="J58" s="66" t="s">
        <v>97</v>
      </c>
      <c r="K58" s="238"/>
    </row>
    <row r="59" spans="2:11" x14ac:dyDescent="0.35">
      <c r="B59" s="67"/>
      <c r="C59" s="68" t="s">
        <v>85</v>
      </c>
      <c r="D59" s="5">
        <v>29727.442999999999</v>
      </c>
      <c r="E59" s="5">
        <v>560227.19200000004</v>
      </c>
      <c r="F59" s="5">
        <v>168524.17434632001</v>
      </c>
      <c r="G59" s="203">
        <v>18.850000000000001</v>
      </c>
      <c r="H59" s="5">
        <v>5668.98</v>
      </c>
      <c r="I59" s="5">
        <v>300.81</v>
      </c>
      <c r="J59" s="147" t="s">
        <v>98</v>
      </c>
      <c r="K59" s="71"/>
    </row>
    <row r="60" spans="2:11" x14ac:dyDescent="0.35">
      <c r="B60" s="233">
        <v>2025</v>
      </c>
      <c r="C60" s="64" t="s">
        <v>70</v>
      </c>
      <c r="D60" s="25">
        <v>3553.3040000000001</v>
      </c>
      <c r="E60" s="25">
        <v>55453.849000000002</v>
      </c>
      <c r="F60" s="25">
        <v>16791.97730436</v>
      </c>
      <c r="G60" s="202">
        <v>15.61</v>
      </c>
      <c r="H60" s="25">
        <v>4725.74</v>
      </c>
      <c r="I60" s="25">
        <v>302.81</v>
      </c>
      <c r="J60" s="66" t="s">
        <v>86</v>
      </c>
      <c r="K60" s="236">
        <v>2025</v>
      </c>
    </row>
    <row r="61" spans="2:11" x14ac:dyDescent="0.35">
      <c r="B61" s="234"/>
      <c r="C61" s="64" t="s">
        <v>71</v>
      </c>
      <c r="D61" s="25">
        <v>3145.5030000000002</v>
      </c>
      <c r="E61" s="25">
        <v>64750.464</v>
      </c>
      <c r="F61" s="25">
        <v>18199.563758439999</v>
      </c>
      <c r="G61" s="202">
        <v>20.59</v>
      </c>
      <c r="H61" s="25">
        <v>5785.9</v>
      </c>
      <c r="I61" s="25">
        <v>281.07</v>
      </c>
      <c r="J61" s="66" t="s">
        <v>87</v>
      </c>
      <c r="K61" s="237"/>
    </row>
    <row r="62" spans="2:11" x14ac:dyDescent="0.35">
      <c r="B62" s="234"/>
      <c r="C62" s="64" t="s">
        <v>72</v>
      </c>
      <c r="D62" s="25">
        <v>2887.375</v>
      </c>
      <c r="E62" s="25">
        <v>52374.385999999999</v>
      </c>
      <c r="F62" s="25">
        <v>16816.367610379999</v>
      </c>
      <c r="G62" s="202">
        <v>18.14</v>
      </c>
      <c r="H62" s="25">
        <v>5824.1</v>
      </c>
      <c r="I62" s="25">
        <v>321.08</v>
      </c>
      <c r="J62" s="66" t="s">
        <v>88</v>
      </c>
      <c r="K62" s="237"/>
    </row>
    <row r="63" spans="2:11" x14ac:dyDescent="0.35">
      <c r="B63" s="234"/>
      <c r="C63" s="64" t="s">
        <v>73</v>
      </c>
      <c r="D63" s="25">
        <v>1618.0519999999999</v>
      </c>
      <c r="E63" s="25">
        <v>23122.561000000002</v>
      </c>
      <c r="F63" s="25">
        <v>7341.4238260000002</v>
      </c>
      <c r="G63" s="202">
        <v>14.29</v>
      </c>
      <c r="H63" s="25">
        <v>4537.2</v>
      </c>
      <c r="I63" s="25">
        <v>317.5</v>
      </c>
      <c r="J63" s="66" t="s">
        <v>89</v>
      </c>
      <c r="K63" s="237"/>
    </row>
    <row r="64" spans="2:11" x14ac:dyDescent="0.35">
      <c r="B64" s="234"/>
      <c r="C64" s="64" t="s">
        <v>74</v>
      </c>
      <c r="D64" s="25">
        <v>739.38699999999994</v>
      </c>
      <c r="E64" s="25">
        <v>15038.215</v>
      </c>
      <c r="F64" s="25">
        <v>3694.5695726999998</v>
      </c>
      <c r="G64" s="202">
        <v>20.34</v>
      </c>
      <c r="H64" s="25">
        <v>4996.8</v>
      </c>
      <c r="I64" s="25">
        <v>245.68</v>
      </c>
      <c r="J64" s="66" t="s">
        <v>90</v>
      </c>
      <c r="K64" s="237"/>
    </row>
    <row r="65" spans="2:11" x14ac:dyDescent="0.35">
      <c r="B65" s="234"/>
      <c r="C65" s="64" t="s">
        <v>75</v>
      </c>
      <c r="D65" s="25">
        <v>2364.279</v>
      </c>
      <c r="E65" s="25">
        <v>55490.928999999996</v>
      </c>
      <c r="F65" s="25">
        <v>27475.079414749998</v>
      </c>
      <c r="G65" s="202">
        <v>23.47</v>
      </c>
      <c r="H65" s="25">
        <v>11620.91</v>
      </c>
      <c r="I65" s="25">
        <v>495.13</v>
      </c>
      <c r="J65" s="66" t="s">
        <v>91</v>
      </c>
      <c r="K65" s="237"/>
    </row>
    <row r="66" spans="2:11" x14ac:dyDescent="0.35">
      <c r="B66" s="234"/>
      <c r="C66" s="64" t="s">
        <v>76</v>
      </c>
      <c r="D66" s="25">
        <v>2178.0390000000002</v>
      </c>
      <c r="E66" s="25">
        <v>43908.756000000001</v>
      </c>
      <c r="F66" s="25">
        <v>12428.38489879</v>
      </c>
      <c r="G66" s="202">
        <v>20.16</v>
      </c>
      <c r="H66" s="25">
        <v>5706.23</v>
      </c>
      <c r="I66" s="25">
        <v>283.05</v>
      </c>
      <c r="J66" s="66" t="s">
        <v>92</v>
      </c>
      <c r="K66" s="237"/>
    </row>
    <row r="67" spans="2:11" x14ac:dyDescent="0.35">
      <c r="B67" s="234"/>
      <c r="C67" s="64" t="s">
        <v>77</v>
      </c>
      <c r="D67" s="25">
        <v>2277.1550000000002</v>
      </c>
      <c r="E67" s="25">
        <v>44219.357000000004</v>
      </c>
      <c r="F67" s="25">
        <v>12279.4820686</v>
      </c>
      <c r="G67" s="202">
        <v>19.420000000000002</v>
      </c>
      <c r="H67" s="25">
        <v>5392.47</v>
      </c>
      <c r="I67" s="25">
        <v>277.69</v>
      </c>
      <c r="J67" s="66" t="s">
        <v>93</v>
      </c>
      <c r="K67" s="237"/>
    </row>
    <row r="68" spans="2:11" x14ac:dyDescent="0.35">
      <c r="B68" s="234"/>
      <c r="C68" s="64" t="s">
        <v>78</v>
      </c>
      <c r="D68" s="25">
        <v>2159.92</v>
      </c>
      <c r="E68" s="25">
        <v>44669.211000000003</v>
      </c>
      <c r="F68" s="25">
        <v>10933.57764876</v>
      </c>
      <c r="G68" s="202">
        <v>20.68</v>
      </c>
      <c r="H68" s="25">
        <v>5062.03</v>
      </c>
      <c r="I68" s="25">
        <v>244.77</v>
      </c>
      <c r="J68" s="66" t="s">
        <v>94</v>
      </c>
      <c r="K68" s="237"/>
    </row>
    <row r="69" spans="2:11" x14ac:dyDescent="0.35">
      <c r="B69" s="234"/>
      <c r="C69" s="64" t="s">
        <v>79</v>
      </c>
      <c r="D69" s="25">
        <v>2490.2570000000001</v>
      </c>
      <c r="E69" s="25">
        <v>47194.139000000003</v>
      </c>
      <c r="F69" s="25">
        <v>14423.273580309999</v>
      </c>
      <c r="G69" s="202">
        <v>18.95</v>
      </c>
      <c r="H69" s="25">
        <v>5791.88</v>
      </c>
      <c r="I69" s="25">
        <v>305.62</v>
      </c>
      <c r="J69" s="66" t="s">
        <v>95</v>
      </c>
      <c r="K69" s="237"/>
    </row>
    <row r="70" spans="2:11" x14ac:dyDescent="0.35">
      <c r="B70" s="234"/>
      <c r="C70" s="64" t="s">
        <v>80</v>
      </c>
      <c r="D70" s="25">
        <v>2622.067</v>
      </c>
      <c r="E70" s="25">
        <v>47050.610999999997</v>
      </c>
      <c r="F70" s="25">
        <v>16749.13304221</v>
      </c>
      <c r="G70" s="202">
        <v>17.940000000000001</v>
      </c>
      <c r="H70" s="25">
        <v>6387.76</v>
      </c>
      <c r="I70" s="25">
        <v>355.98</v>
      </c>
      <c r="J70" s="66" t="s">
        <v>96</v>
      </c>
      <c r="K70" s="237"/>
    </row>
    <row r="71" spans="2:11" x14ac:dyDescent="0.35">
      <c r="B71" s="235"/>
      <c r="C71" s="64" t="s">
        <v>81</v>
      </c>
      <c r="D71" s="25">
        <v>3219.4490000000001</v>
      </c>
      <c r="E71" s="25">
        <v>54411.394</v>
      </c>
      <c r="F71" s="25">
        <v>19495.86000814</v>
      </c>
      <c r="G71" s="202">
        <v>16.899999999999999</v>
      </c>
      <c r="H71" s="25">
        <v>6055.65</v>
      </c>
      <c r="I71" s="25">
        <v>358.3</v>
      </c>
      <c r="J71" s="66" t="s">
        <v>97</v>
      </c>
      <c r="K71" s="238"/>
    </row>
    <row r="72" spans="2:11" x14ac:dyDescent="0.35">
      <c r="B72" s="67"/>
      <c r="C72" s="68" t="s">
        <v>85</v>
      </c>
      <c r="D72" s="5">
        <v>29254.787</v>
      </c>
      <c r="E72" s="5">
        <v>547683.87199999997</v>
      </c>
      <c r="F72" s="5">
        <v>176628.69273344</v>
      </c>
      <c r="G72" s="203">
        <v>18.72</v>
      </c>
      <c r="H72" s="5">
        <v>6037.6</v>
      </c>
      <c r="I72" s="5">
        <v>322.5</v>
      </c>
      <c r="J72" s="147" t="s">
        <v>98</v>
      </c>
      <c r="K72" s="71"/>
    </row>
  </sheetData>
  <mergeCells count="12">
    <mergeCell ref="B60:B71"/>
    <mergeCell ref="K60:K71"/>
    <mergeCell ref="B47:B58"/>
    <mergeCell ref="K47:K58"/>
    <mergeCell ref="A2:F2"/>
    <mergeCell ref="A3:F3"/>
    <mergeCell ref="B34:B45"/>
    <mergeCell ref="K34:K45"/>
    <mergeCell ref="B8:B19"/>
    <mergeCell ref="K8:K19"/>
    <mergeCell ref="B21:B32"/>
    <mergeCell ref="K21:K32"/>
  </mergeCells>
  <pageMargins left="0.7" right="0.7" top="0.75" bottom="0.75" header="0.3" footer="0.3"/>
  <pageSetup paperSize="9" orientation="portrait" r:id="rId1"/>
  <headerFooter>
    <oddFooter>&amp;C&amp;1#&amp;"Calibri"&amp;11&amp;Kffa500CONFIDENTIAL▮▮مقيّد</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N71"/>
  <sheetViews>
    <sheetView showGridLines="0" zoomScale="80" zoomScaleNormal="80" workbookViewId="0"/>
  </sheetViews>
  <sheetFormatPr defaultColWidth="8.81640625" defaultRowHeight="14.5" x14ac:dyDescent="0.35"/>
  <cols>
    <col min="3" max="5" width="17.81640625" bestFit="1" customWidth="1"/>
    <col min="6" max="6" width="18.54296875" customWidth="1"/>
    <col min="7" max="7" width="21.453125" customWidth="1"/>
    <col min="8" max="8" width="22.453125" bestFit="1" customWidth="1"/>
    <col min="9" max="9" width="21.453125" customWidth="1"/>
    <col min="10" max="10" width="17.81640625" bestFit="1" customWidth="1"/>
    <col min="12" max="12" width="17.54296875" customWidth="1"/>
    <col min="21" max="21" width="10.1796875" bestFit="1" customWidth="1"/>
    <col min="25" max="25" width="9.1796875" bestFit="1" customWidth="1"/>
  </cols>
  <sheetData>
    <row r="1" spans="1:14" x14ac:dyDescent="0.35">
      <c r="A1" s="9" t="s">
        <v>524</v>
      </c>
    </row>
    <row r="2" spans="1:14" x14ac:dyDescent="0.35">
      <c r="A2" s="232"/>
      <c r="B2" s="232"/>
      <c r="C2" s="232"/>
      <c r="D2" s="232"/>
      <c r="E2" s="232"/>
    </row>
    <row r="3" spans="1:14" x14ac:dyDescent="0.35">
      <c r="A3" s="232"/>
      <c r="B3" s="232"/>
      <c r="C3" s="232"/>
      <c r="D3" s="232"/>
      <c r="E3" s="232"/>
    </row>
    <row r="4" spans="1:14" s="15" customFormat="1" ht="18" customHeight="1" x14ac:dyDescent="0.35">
      <c r="A4" s="10" t="s">
        <v>9</v>
      </c>
      <c r="B4" s="30" t="s">
        <v>352</v>
      </c>
      <c r="C4" s="13"/>
      <c r="D4" s="13"/>
      <c r="E4" s="13"/>
      <c r="F4" s="13"/>
      <c r="G4" s="13"/>
      <c r="H4" s="13"/>
      <c r="I4" s="13"/>
      <c r="J4" s="13"/>
      <c r="K4" s="31" t="s">
        <v>332</v>
      </c>
    </row>
    <row r="5" spans="1:14" ht="18" customHeight="1" x14ac:dyDescent="0.35">
      <c r="B5" s="59"/>
      <c r="C5" s="60"/>
      <c r="K5" s="59"/>
    </row>
    <row r="6" spans="1:14" s="59" customFormat="1" ht="43.5" x14ac:dyDescent="0.35">
      <c r="C6" s="61" t="s">
        <v>99</v>
      </c>
      <c r="D6" s="62" t="s">
        <v>326</v>
      </c>
      <c r="E6" s="62" t="s">
        <v>327</v>
      </c>
      <c r="F6" s="62" t="s">
        <v>357</v>
      </c>
      <c r="G6" s="62" t="s">
        <v>328</v>
      </c>
      <c r="H6" s="62" t="s">
        <v>83</v>
      </c>
      <c r="I6" s="62" t="s">
        <v>84</v>
      </c>
      <c r="J6" s="63" t="s">
        <v>100</v>
      </c>
    </row>
    <row r="7" spans="1:14" ht="18" customHeight="1" x14ac:dyDescent="0.35">
      <c r="B7" s="233">
        <v>2021</v>
      </c>
      <c r="C7" s="64" t="s">
        <v>70</v>
      </c>
      <c r="D7" s="65">
        <v>3.2349999999999999</v>
      </c>
      <c r="E7" s="65">
        <v>70.328999999999994</v>
      </c>
      <c r="F7" s="65">
        <v>5.6459999999999999</v>
      </c>
      <c r="G7" s="65">
        <v>22.114999999999998</v>
      </c>
      <c r="H7" s="65">
        <v>131.441</v>
      </c>
      <c r="I7" s="65">
        <v>232.76499999999999</v>
      </c>
      <c r="J7" s="66" t="s">
        <v>86</v>
      </c>
      <c r="K7" s="236">
        <v>2021</v>
      </c>
      <c r="M7" s="148" t="s">
        <v>353</v>
      </c>
      <c r="N7" s="72" t="s">
        <v>354</v>
      </c>
    </row>
    <row r="8" spans="1:14" ht="18" customHeight="1" x14ac:dyDescent="0.35">
      <c r="B8" s="234"/>
      <c r="C8" s="64" t="s">
        <v>71</v>
      </c>
      <c r="D8" s="65">
        <v>2.5760000000000001</v>
      </c>
      <c r="E8" s="65">
        <v>51.087000000000003</v>
      </c>
      <c r="F8" s="65">
        <v>2.677</v>
      </c>
      <c r="G8" s="65">
        <v>16.753</v>
      </c>
      <c r="H8" s="65">
        <v>51.939</v>
      </c>
      <c r="I8" s="65">
        <v>125.032</v>
      </c>
      <c r="J8" s="66" t="s">
        <v>87</v>
      </c>
      <c r="K8" s="237"/>
      <c r="M8" t="s">
        <v>355</v>
      </c>
      <c r="N8" s="72" t="s">
        <v>356</v>
      </c>
    </row>
    <row r="9" spans="1:14" ht="18" customHeight="1" x14ac:dyDescent="0.35">
      <c r="B9" s="234"/>
      <c r="C9" s="64" t="s">
        <v>72</v>
      </c>
      <c r="D9" s="65">
        <v>2.4</v>
      </c>
      <c r="E9" s="65">
        <v>66.527000000000001</v>
      </c>
      <c r="F9" s="65">
        <v>6.3460000000000001</v>
      </c>
      <c r="G9" s="65">
        <v>24.465</v>
      </c>
      <c r="H9" s="65">
        <v>48.555999999999997</v>
      </c>
      <c r="I9" s="65">
        <v>148.29400000000001</v>
      </c>
      <c r="J9" s="66" t="s">
        <v>88</v>
      </c>
      <c r="K9" s="237"/>
    </row>
    <row r="10" spans="1:14" ht="18" customHeight="1" x14ac:dyDescent="0.35">
      <c r="B10" s="234"/>
      <c r="C10" s="64" t="s">
        <v>73</v>
      </c>
      <c r="D10" s="65">
        <v>6.4870000000000001</v>
      </c>
      <c r="E10" s="65">
        <v>71.206000000000003</v>
      </c>
      <c r="F10" s="65">
        <v>9.0670000000000002</v>
      </c>
      <c r="G10" s="65">
        <v>28.77</v>
      </c>
      <c r="H10" s="65">
        <v>60.500999999999998</v>
      </c>
      <c r="I10" s="65">
        <v>176.03100000000001</v>
      </c>
      <c r="J10" s="66" t="s">
        <v>89</v>
      </c>
      <c r="K10" s="237"/>
    </row>
    <row r="11" spans="1:14" ht="18" customHeight="1" x14ac:dyDescent="0.35">
      <c r="B11" s="234"/>
      <c r="C11" s="64" t="s">
        <v>74</v>
      </c>
      <c r="D11" s="65">
        <v>6.8220000000000001</v>
      </c>
      <c r="E11" s="65">
        <v>63.521000000000001</v>
      </c>
      <c r="F11" s="65">
        <v>11.91</v>
      </c>
      <c r="G11" s="65">
        <v>35.357999999999997</v>
      </c>
      <c r="H11" s="65">
        <v>67.233999999999995</v>
      </c>
      <c r="I11" s="65">
        <v>184.845</v>
      </c>
      <c r="J11" s="66" t="s">
        <v>90</v>
      </c>
      <c r="K11" s="237"/>
    </row>
    <row r="12" spans="1:14" ht="18" customHeight="1" x14ac:dyDescent="0.35">
      <c r="B12" s="234"/>
      <c r="C12" s="64" t="s">
        <v>75</v>
      </c>
      <c r="D12" s="65">
        <v>3.097</v>
      </c>
      <c r="E12" s="65">
        <v>69.076999999999998</v>
      </c>
      <c r="F12" s="65">
        <v>11.888999999999999</v>
      </c>
      <c r="G12" s="65">
        <v>36.098999999999997</v>
      </c>
      <c r="H12" s="65">
        <v>55.27</v>
      </c>
      <c r="I12" s="65">
        <v>175.43100000000001</v>
      </c>
      <c r="J12" s="66" t="s">
        <v>91</v>
      </c>
      <c r="K12" s="237"/>
    </row>
    <row r="13" spans="1:14" ht="18" customHeight="1" x14ac:dyDescent="0.35">
      <c r="B13" s="234"/>
      <c r="C13" s="64" t="s">
        <v>76</v>
      </c>
      <c r="D13" s="65">
        <v>11.452999999999999</v>
      </c>
      <c r="E13" s="65">
        <v>65.405000000000001</v>
      </c>
      <c r="F13" s="65">
        <v>26.312000000000001</v>
      </c>
      <c r="G13" s="65">
        <v>46.77</v>
      </c>
      <c r="H13" s="65">
        <v>81.355999999999995</v>
      </c>
      <c r="I13" s="65">
        <v>231.29499999999999</v>
      </c>
      <c r="J13" s="66" t="s">
        <v>92</v>
      </c>
      <c r="K13" s="237"/>
    </row>
    <row r="14" spans="1:14" ht="18" customHeight="1" x14ac:dyDescent="0.35">
      <c r="B14" s="234"/>
      <c r="C14" s="64" t="s">
        <v>77</v>
      </c>
      <c r="D14" s="65">
        <v>4.6130000000000004</v>
      </c>
      <c r="E14" s="65">
        <v>80.709000000000003</v>
      </c>
      <c r="F14" s="65">
        <v>24.795999999999999</v>
      </c>
      <c r="G14" s="65">
        <v>43.966999999999999</v>
      </c>
      <c r="H14" s="65">
        <v>103.28</v>
      </c>
      <c r="I14" s="65">
        <v>257.36399999999998</v>
      </c>
      <c r="J14" s="66" t="s">
        <v>93</v>
      </c>
      <c r="K14" s="237"/>
    </row>
    <row r="15" spans="1:14" ht="18" customHeight="1" x14ac:dyDescent="0.35">
      <c r="B15" s="234"/>
      <c r="C15" s="64" t="s">
        <v>78</v>
      </c>
      <c r="D15" s="65">
        <v>28.698</v>
      </c>
      <c r="E15" s="65">
        <v>85.453000000000003</v>
      </c>
      <c r="F15" s="65">
        <v>23.898</v>
      </c>
      <c r="G15" s="65">
        <v>40.704000000000001</v>
      </c>
      <c r="H15" s="65">
        <v>129.41</v>
      </c>
      <c r="I15" s="65">
        <v>308.16300000000001</v>
      </c>
      <c r="J15" s="66" t="s">
        <v>94</v>
      </c>
      <c r="K15" s="237"/>
    </row>
    <row r="16" spans="1:14" ht="18" customHeight="1" x14ac:dyDescent="0.35">
      <c r="B16" s="234"/>
      <c r="C16" s="64" t="s">
        <v>79</v>
      </c>
      <c r="D16" s="65">
        <v>51.692999999999998</v>
      </c>
      <c r="E16" s="65">
        <v>115.101</v>
      </c>
      <c r="F16" s="65">
        <v>39.773000000000003</v>
      </c>
      <c r="G16" s="65">
        <v>44.914999999999999</v>
      </c>
      <c r="H16" s="65">
        <v>201.50299999999999</v>
      </c>
      <c r="I16" s="65">
        <v>452.98500000000001</v>
      </c>
      <c r="J16" s="66" t="s">
        <v>95</v>
      </c>
      <c r="K16" s="237"/>
    </row>
    <row r="17" spans="2:11" ht="18" customHeight="1" x14ac:dyDescent="0.35">
      <c r="B17" s="234"/>
      <c r="C17" s="64" t="s">
        <v>80</v>
      </c>
      <c r="D17" s="65">
        <v>63.959000000000003</v>
      </c>
      <c r="E17" s="65">
        <v>131.09700000000001</v>
      </c>
      <c r="F17" s="65">
        <v>55.234999999999999</v>
      </c>
      <c r="G17" s="65">
        <v>45.578000000000003</v>
      </c>
      <c r="H17" s="65">
        <v>197.72399999999999</v>
      </c>
      <c r="I17" s="65">
        <v>493.59300000000002</v>
      </c>
      <c r="J17" s="66" t="s">
        <v>96</v>
      </c>
      <c r="K17" s="237"/>
    </row>
    <row r="18" spans="2:11" ht="18" customHeight="1" x14ac:dyDescent="0.35">
      <c r="B18" s="235"/>
      <c r="C18" s="64" t="s">
        <v>81</v>
      </c>
      <c r="D18" s="65">
        <v>88.823999999999998</v>
      </c>
      <c r="E18" s="65">
        <v>143.59899999999999</v>
      </c>
      <c r="F18" s="65">
        <v>94.61</v>
      </c>
      <c r="G18" s="65">
        <v>54.51</v>
      </c>
      <c r="H18" s="65">
        <v>309.87400000000002</v>
      </c>
      <c r="I18" s="65">
        <v>691.41800000000001</v>
      </c>
      <c r="J18" s="66" t="s">
        <v>97</v>
      </c>
      <c r="K18" s="238"/>
    </row>
    <row r="19" spans="2:11" ht="18" customHeight="1" x14ac:dyDescent="0.35">
      <c r="B19" s="67"/>
      <c r="C19" s="68" t="s">
        <v>85</v>
      </c>
      <c r="D19" s="69">
        <v>273.85700000000003</v>
      </c>
      <c r="E19" s="69">
        <v>1013.111</v>
      </c>
      <c r="F19" s="69">
        <v>312.16000000000003</v>
      </c>
      <c r="G19" s="69">
        <v>440.00200000000001</v>
      </c>
      <c r="H19" s="69">
        <v>1438.086</v>
      </c>
      <c r="I19" s="69">
        <v>3477.2159999999999</v>
      </c>
      <c r="J19" s="70" t="s">
        <v>98</v>
      </c>
      <c r="K19" s="71"/>
    </row>
    <row r="20" spans="2:11" x14ac:dyDescent="0.35">
      <c r="B20" s="233">
        <v>2022</v>
      </c>
      <c r="C20" s="64" t="s">
        <v>70</v>
      </c>
      <c r="D20" s="65">
        <v>84.045000000000002</v>
      </c>
      <c r="E20" s="65">
        <v>105.343</v>
      </c>
      <c r="F20" s="65">
        <v>83.668999999999997</v>
      </c>
      <c r="G20" s="65">
        <v>51.244999999999997</v>
      </c>
      <c r="H20" s="65">
        <v>224.63399999999999</v>
      </c>
      <c r="I20" s="65">
        <v>548.93600000000004</v>
      </c>
      <c r="J20" s="66" t="s">
        <v>86</v>
      </c>
      <c r="K20" s="236">
        <v>2022</v>
      </c>
    </row>
    <row r="21" spans="2:11" x14ac:dyDescent="0.35">
      <c r="B21" s="234"/>
      <c r="C21" s="64" t="s">
        <v>71</v>
      </c>
      <c r="D21" s="65">
        <v>199.166</v>
      </c>
      <c r="E21" s="65">
        <v>107.211</v>
      </c>
      <c r="F21" s="65">
        <v>94.781000000000006</v>
      </c>
      <c r="G21" s="65">
        <v>69.942999999999998</v>
      </c>
      <c r="H21" s="65">
        <v>217.93899999999999</v>
      </c>
      <c r="I21" s="65">
        <v>689.04</v>
      </c>
      <c r="J21" s="66" t="s">
        <v>87</v>
      </c>
      <c r="K21" s="237"/>
    </row>
    <row r="22" spans="2:11" x14ac:dyDescent="0.35">
      <c r="B22" s="234"/>
      <c r="C22" s="64" t="s">
        <v>72</v>
      </c>
      <c r="D22" s="65">
        <v>371.53</v>
      </c>
      <c r="E22" s="65">
        <v>162.75</v>
      </c>
      <c r="F22" s="65">
        <v>143.001</v>
      </c>
      <c r="G22" s="65">
        <v>132.67099999999999</v>
      </c>
      <c r="H22" s="65">
        <v>407.161</v>
      </c>
      <c r="I22" s="65">
        <v>1217.114</v>
      </c>
      <c r="J22" s="66" t="s">
        <v>88</v>
      </c>
      <c r="K22" s="237"/>
    </row>
    <row r="23" spans="2:11" x14ac:dyDescent="0.35">
      <c r="B23" s="234"/>
      <c r="C23" s="64" t="s">
        <v>73</v>
      </c>
      <c r="D23" s="65">
        <v>720.85699999999997</v>
      </c>
      <c r="E23" s="65">
        <v>175.428</v>
      </c>
      <c r="F23" s="65">
        <v>164.46100000000001</v>
      </c>
      <c r="G23" s="65">
        <v>114.66800000000001</v>
      </c>
      <c r="H23" s="65">
        <v>437.072</v>
      </c>
      <c r="I23" s="65">
        <v>1612.4870000000001</v>
      </c>
      <c r="J23" s="66" t="s">
        <v>89</v>
      </c>
      <c r="K23" s="237"/>
    </row>
    <row r="24" spans="2:11" x14ac:dyDescent="0.35">
      <c r="B24" s="234"/>
      <c r="C24" s="64" t="s">
        <v>74</v>
      </c>
      <c r="D24" s="65">
        <v>280.005</v>
      </c>
      <c r="E24" s="65">
        <v>141.47399999999999</v>
      </c>
      <c r="F24" s="65">
        <v>103.096</v>
      </c>
      <c r="G24" s="65">
        <v>106.71599999999999</v>
      </c>
      <c r="H24" s="65">
        <v>473.08100000000002</v>
      </c>
      <c r="I24" s="65">
        <v>1104.3710000000001</v>
      </c>
      <c r="J24" s="66" t="s">
        <v>90</v>
      </c>
      <c r="K24" s="237"/>
    </row>
    <row r="25" spans="2:11" x14ac:dyDescent="0.35">
      <c r="B25" s="234"/>
      <c r="C25" s="64" t="s">
        <v>75</v>
      </c>
      <c r="D25" s="65">
        <v>13.233000000000001</v>
      </c>
      <c r="E25" s="65">
        <v>150.989</v>
      </c>
      <c r="F25" s="65">
        <v>66.960999999999999</v>
      </c>
      <c r="G25" s="65">
        <v>114.209</v>
      </c>
      <c r="H25" s="65">
        <v>521.82399999999996</v>
      </c>
      <c r="I25" s="65">
        <v>867.21600000000001</v>
      </c>
      <c r="J25" s="66" t="s">
        <v>91</v>
      </c>
      <c r="K25" s="237"/>
    </row>
    <row r="26" spans="2:11" x14ac:dyDescent="0.35">
      <c r="B26" s="234"/>
      <c r="C26" s="64" t="s">
        <v>76</v>
      </c>
      <c r="D26" s="65">
        <v>809.91899999999998</v>
      </c>
      <c r="E26" s="65">
        <v>114.53</v>
      </c>
      <c r="F26" s="65">
        <v>122.46299999999999</v>
      </c>
      <c r="G26" s="65">
        <v>181.78700000000001</v>
      </c>
      <c r="H26" s="65">
        <v>536.92600000000004</v>
      </c>
      <c r="I26" s="65">
        <v>1765.626</v>
      </c>
      <c r="J26" s="66" t="s">
        <v>92</v>
      </c>
      <c r="K26" s="237"/>
    </row>
    <row r="27" spans="2:11" x14ac:dyDescent="0.35">
      <c r="B27" s="234"/>
      <c r="C27" s="64" t="s">
        <v>77</v>
      </c>
      <c r="D27" s="65">
        <v>369.76100000000002</v>
      </c>
      <c r="E27" s="65">
        <v>139.50399999999999</v>
      </c>
      <c r="F27" s="65">
        <v>147.53700000000001</v>
      </c>
      <c r="G27" s="65">
        <v>182.79400000000001</v>
      </c>
      <c r="H27" s="65">
        <v>470.976</v>
      </c>
      <c r="I27" s="65">
        <v>1310.5730000000001</v>
      </c>
      <c r="J27" s="66" t="s">
        <v>93</v>
      </c>
      <c r="K27" s="237"/>
    </row>
    <row r="28" spans="2:11" x14ac:dyDescent="0.35">
      <c r="B28" s="234"/>
      <c r="C28" s="64" t="s">
        <v>78</v>
      </c>
      <c r="D28" s="65">
        <v>618.29899999999998</v>
      </c>
      <c r="E28" s="65">
        <v>140.41999999999999</v>
      </c>
      <c r="F28" s="65">
        <v>215.27199999999999</v>
      </c>
      <c r="G28" s="65">
        <v>90.152000000000001</v>
      </c>
      <c r="H28" s="65">
        <v>474.83499999999998</v>
      </c>
      <c r="I28" s="65">
        <v>1538.9770000000001</v>
      </c>
      <c r="J28" s="66" t="s">
        <v>94</v>
      </c>
      <c r="K28" s="237"/>
    </row>
    <row r="29" spans="2:11" x14ac:dyDescent="0.35">
      <c r="B29" s="234"/>
      <c r="C29" s="64" t="s">
        <v>79</v>
      </c>
      <c r="D29" s="65">
        <v>819.947</v>
      </c>
      <c r="E29" s="65">
        <v>146.041</v>
      </c>
      <c r="F29" s="65">
        <v>285.10199999999998</v>
      </c>
      <c r="G29" s="65">
        <v>72.204999999999998</v>
      </c>
      <c r="H29" s="65">
        <v>429.47899999999998</v>
      </c>
      <c r="I29" s="65">
        <v>1752.7739999999999</v>
      </c>
      <c r="J29" s="66" t="s">
        <v>95</v>
      </c>
      <c r="K29" s="237"/>
    </row>
    <row r="30" spans="2:11" x14ac:dyDescent="0.35">
      <c r="B30" s="234"/>
      <c r="C30" s="64" t="s">
        <v>80</v>
      </c>
      <c r="D30" s="65">
        <v>823.16499999999996</v>
      </c>
      <c r="E30" s="65">
        <v>138.71600000000001</v>
      </c>
      <c r="F30" s="65">
        <v>404.00900000000001</v>
      </c>
      <c r="G30" s="65">
        <v>89.748999999999995</v>
      </c>
      <c r="H30" s="65">
        <v>384.38200000000001</v>
      </c>
      <c r="I30" s="65">
        <v>1840.021</v>
      </c>
      <c r="J30" s="66" t="s">
        <v>96</v>
      </c>
      <c r="K30" s="237"/>
    </row>
    <row r="31" spans="2:11" x14ac:dyDescent="0.35">
      <c r="B31" s="235"/>
      <c r="C31" s="64" t="s">
        <v>81</v>
      </c>
      <c r="D31" s="65">
        <v>885.59100000000001</v>
      </c>
      <c r="E31" s="65">
        <v>144.28700000000001</v>
      </c>
      <c r="F31" s="65">
        <v>635.84299999999996</v>
      </c>
      <c r="G31" s="65">
        <v>171.21799999999999</v>
      </c>
      <c r="H31" s="65">
        <v>553.78700000000003</v>
      </c>
      <c r="I31" s="65">
        <v>2390.7260000000001</v>
      </c>
      <c r="J31" s="66" t="s">
        <v>97</v>
      </c>
      <c r="K31" s="238"/>
    </row>
    <row r="32" spans="2:11" x14ac:dyDescent="0.35">
      <c r="B32" s="67"/>
      <c r="C32" s="68" t="s">
        <v>85</v>
      </c>
      <c r="D32" s="69">
        <v>5995.518</v>
      </c>
      <c r="E32" s="69">
        <v>1666.693</v>
      </c>
      <c r="F32" s="69">
        <v>2466.194</v>
      </c>
      <c r="G32" s="69">
        <v>1377.3589999999999</v>
      </c>
      <c r="H32" s="69">
        <v>5132.0969999999998</v>
      </c>
      <c r="I32" s="69">
        <v>16637.861000000001</v>
      </c>
      <c r="J32" s="70" t="s">
        <v>98</v>
      </c>
      <c r="K32" s="71"/>
    </row>
    <row r="33" spans="2:11" x14ac:dyDescent="0.35">
      <c r="B33" s="233">
        <v>2023</v>
      </c>
      <c r="C33" s="64" t="s">
        <v>70</v>
      </c>
      <c r="D33" s="65">
        <v>1035</v>
      </c>
      <c r="E33" s="65">
        <v>150</v>
      </c>
      <c r="F33" s="65">
        <v>523</v>
      </c>
      <c r="G33" s="65">
        <v>164</v>
      </c>
      <c r="H33" s="65">
        <v>609</v>
      </c>
      <c r="I33" s="65">
        <v>2482</v>
      </c>
      <c r="J33" s="66" t="s">
        <v>86</v>
      </c>
      <c r="K33" s="236">
        <v>2023</v>
      </c>
    </row>
    <row r="34" spans="2:11" x14ac:dyDescent="0.35">
      <c r="B34" s="234"/>
      <c r="C34" s="64" t="s">
        <v>71</v>
      </c>
      <c r="D34" s="65">
        <v>1105</v>
      </c>
      <c r="E34" s="65">
        <v>144</v>
      </c>
      <c r="F34" s="65">
        <v>514</v>
      </c>
      <c r="G34" s="65">
        <v>157</v>
      </c>
      <c r="H34" s="65">
        <v>536</v>
      </c>
      <c r="I34" s="65">
        <v>2456</v>
      </c>
      <c r="J34" s="66" t="s">
        <v>87</v>
      </c>
      <c r="K34" s="237"/>
    </row>
    <row r="35" spans="2:11" x14ac:dyDescent="0.35">
      <c r="B35" s="234"/>
      <c r="C35" s="64" t="s">
        <v>72</v>
      </c>
      <c r="D35" s="65">
        <v>1378</v>
      </c>
      <c r="E35" s="65">
        <v>165</v>
      </c>
      <c r="F35" s="65">
        <v>533</v>
      </c>
      <c r="G35" s="65">
        <v>146</v>
      </c>
      <c r="H35" s="65">
        <v>648</v>
      </c>
      <c r="I35" s="65">
        <v>2870</v>
      </c>
      <c r="J35" s="66" t="s">
        <v>88</v>
      </c>
      <c r="K35" s="237"/>
    </row>
    <row r="36" spans="2:11" x14ac:dyDescent="0.35">
      <c r="B36" s="234"/>
      <c r="C36" s="64" t="s">
        <v>73</v>
      </c>
      <c r="D36" s="65">
        <v>1005</v>
      </c>
      <c r="E36" s="65">
        <v>147</v>
      </c>
      <c r="F36" s="65">
        <v>549</v>
      </c>
      <c r="G36" s="65">
        <v>122</v>
      </c>
      <c r="H36" s="65">
        <v>601</v>
      </c>
      <c r="I36" s="65">
        <v>2424</v>
      </c>
      <c r="J36" s="66" t="s">
        <v>89</v>
      </c>
      <c r="K36" s="237"/>
    </row>
    <row r="37" spans="2:11" x14ac:dyDescent="0.35">
      <c r="B37" s="234"/>
      <c r="C37" s="64" t="s">
        <v>74</v>
      </c>
      <c r="D37" s="65">
        <v>348</v>
      </c>
      <c r="E37" s="65">
        <v>166</v>
      </c>
      <c r="F37" s="65">
        <v>386</v>
      </c>
      <c r="G37" s="65">
        <v>101</v>
      </c>
      <c r="H37" s="65">
        <v>513</v>
      </c>
      <c r="I37" s="65">
        <v>1514</v>
      </c>
      <c r="J37" s="66" t="s">
        <v>90</v>
      </c>
      <c r="K37" s="237"/>
    </row>
    <row r="38" spans="2:11" x14ac:dyDescent="0.35">
      <c r="B38" s="234"/>
      <c r="C38" s="64" t="s">
        <v>75</v>
      </c>
      <c r="D38" s="65">
        <v>1715</v>
      </c>
      <c r="E38" s="65">
        <v>129</v>
      </c>
      <c r="F38" s="65">
        <v>424</v>
      </c>
      <c r="G38" s="65">
        <v>101</v>
      </c>
      <c r="H38" s="65">
        <v>479</v>
      </c>
      <c r="I38" s="65">
        <v>2847</v>
      </c>
      <c r="J38" s="66" t="s">
        <v>91</v>
      </c>
      <c r="K38" s="237"/>
    </row>
    <row r="39" spans="2:11" x14ac:dyDescent="0.35">
      <c r="B39" s="234"/>
      <c r="C39" s="64" t="s">
        <v>76</v>
      </c>
      <c r="D39" s="65">
        <v>185</v>
      </c>
      <c r="E39" s="65">
        <v>132</v>
      </c>
      <c r="F39" s="65">
        <v>453</v>
      </c>
      <c r="G39" s="65">
        <v>124</v>
      </c>
      <c r="H39" s="65">
        <v>457</v>
      </c>
      <c r="I39" s="65">
        <v>1350</v>
      </c>
      <c r="J39" s="66" t="s">
        <v>92</v>
      </c>
      <c r="K39" s="237"/>
    </row>
    <row r="40" spans="2:11" x14ac:dyDescent="0.35">
      <c r="B40" s="234"/>
      <c r="C40" s="64" t="s">
        <v>77</v>
      </c>
      <c r="D40" s="65">
        <v>749</v>
      </c>
      <c r="E40" s="65">
        <v>146</v>
      </c>
      <c r="F40" s="65">
        <v>580</v>
      </c>
      <c r="G40" s="65">
        <v>127</v>
      </c>
      <c r="H40" s="65">
        <v>507</v>
      </c>
      <c r="I40" s="65">
        <v>2109</v>
      </c>
      <c r="J40" s="66" t="s">
        <v>93</v>
      </c>
      <c r="K40" s="237"/>
    </row>
    <row r="41" spans="2:11" x14ac:dyDescent="0.35">
      <c r="B41" s="234"/>
      <c r="C41" s="64" t="s">
        <v>78</v>
      </c>
      <c r="D41" s="65">
        <v>861</v>
      </c>
      <c r="E41" s="65">
        <v>147</v>
      </c>
      <c r="F41" s="65">
        <v>469</v>
      </c>
      <c r="G41" s="65">
        <v>115</v>
      </c>
      <c r="H41" s="65">
        <v>448</v>
      </c>
      <c r="I41" s="65">
        <v>2040</v>
      </c>
      <c r="J41" s="66" t="s">
        <v>94</v>
      </c>
      <c r="K41" s="237"/>
    </row>
    <row r="42" spans="2:11" x14ac:dyDescent="0.35">
      <c r="B42" s="234"/>
      <c r="C42" s="64" t="s">
        <v>79</v>
      </c>
      <c r="D42" s="65">
        <v>981</v>
      </c>
      <c r="E42" s="65">
        <v>169</v>
      </c>
      <c r="F42" s="65">
        <v>513</v>
      </c>
      <c r="G42" s="65">
        <v>126</v>
      </c>
      <c r="H42" s="65">
        <v>402</v>
      </c>
      <c r="I42" s="65">
        <v>2191</v>
      </c>
      <c r="J42" s="66" t="s">
        <v>95</v>
      </c>
      <c r="K42" s="237"/>
    </row>
    <row r="43" spans="2:11" x14ac:dyDescent="0.35">
      <c r="B43" s="234"/>
      <c r="C43" s="64" t="s">
        <v>80</v>
      </c>
      <c r="D43" s="65">
        <v>991</v>
      </c>
      <c r="E43" s="65">
        <v>175</v>
      </c>
      <c r="F43" s="65">
        <v>508</v>
      </c>
      <c r="G43" s="65">
        <v>136</v>
      </c>
      <c r="H43" s="65">
        <v>427</v>
      </c>
      <c r="I43" s="65">
        <v>2238</v>
      </c>
      <c r="J43" s="66" t="s">
        <v>96</v>
      </c>
      <c r="K43" s="237"/>
    </row>
    <row r="44" spans="2:11" x14ac:dyDescent="0.35">
      <c r="B44" s="235"/>
      <c r="C44" s="64" t="s">
        <v>81</v>
      </c>
      <c r="D44" s="65">
        <v>1115</v>
      </c>
      <c r="E44" s="65">
        <v>194</v>
      </c>
      <c r="F44" s="65">
        <v>794</v>
      </c>
      <c r="G44" s="65">
        <v>226</v>
      </c>
      <c r="H44" s="65">
        <v>574</v>
      </c>
      <c r="I44" s="65">
        <v>2903</v>
      </c>
      <c r="J44" s="66" t="s">
        <v>97</v>
      </c>
      <c r="K44" s="238"/>
    </row>
    <row r="45" spans="2:11" x14ac:dyDescent="0.35">
      <c r="B45" s="67"/>
      <c r="C45" s="68" t="s">
        <v>85</v>
      </c>
      <c r="D45" s="69">
        <v>11466</v>
      </c>
      <c r="E45" s="69">
        <v>1865</v>
      </c>
      <c r="F45" s="69">
        <v>6246</v>
      </c>
      <c r="G45" s="69">
        <v>1645</v>
      </c>
      <c r="H45" s="69">
        <v>6201</v>
      </c>
      <c r="I45" s="69">
        <v>27424</v>
      </c>
      <c r="J45" s="70" t="s">
        <v>98</v>
      </c>
      <c r="K45" s="71"/>
    </row>
    <row r="46" spans="2:11" x14ac:dyDescent="0.35">
      <c r="B46" s="233">
        <v>2024</v>
      </c>
      <c r="C46" s="64" t="s">
        <v>70</v>
      </c>
      <c r="D46" s="65">
        <v>1257.713</v>
      </c>
      <c r="E46" s="65">
        <v>195.17400000000001</v>
      </c>
      <c r="F46" s="65">
        <v>732.01099999999997</v>
      </c>
      <c r="G46" s="65">
        <v>270.87900000000002</v>
      </c>
      <c r="H46" s="65">
        <v>678.976</v>
      </c>
      <c r="I46" s="65">
        <v>3134.7530000000002</v>
      </c>
      <c r="J46" s="66" t="s">
        <v>86</v>
      </c>
      <c r="K46" s="236">
        <v>2024</v>
      </c>
    </row>
    <row r="47" spans="2:11" x14ac:dyDescent="0.35">
      <c r="B47" s="234"/>
      <c r="C47" s="64" t="s">
        <v>71</v>
      </c>
      <c r="D47" s="65">
        <v>1378.683</v>
      </c>
      <c r="E47" s="65">
        <v>178.69</v>
      </c>
      <c r="F47" s="65">
        <v>738.17600000000004</v>
      </c>
      <c r="G47" s="65">
        <v>214.93</v>
      </c>
      <c r="H47" s="65">
        <v>600.70600000000002</v>
      </c>
      <c r="I47" s="65">
        <v>3111.1849999999999</v>
      </c>
      <c r="J47" s="66" t="s">
        <v>87</v>
      </c>
      <c r="K47" s="237"/>
    </row>
    <row r="48" spans="2:11" x14ac:dyDescent="0.35">
      <c r="B48" s="234"/>
      <c r="C48" s="64" t="s">
        <v>72</v>
      </c>
      <c r="D48" s="65">
        <v>1530.038</v>
      </c>
      <c r="E48" s="65">
        <v>161.054</v>
      </c>
      <c r="F48" s="65">
        <v>728.06100000000004</v>
      </c>
      <c r="G48" s="65">
        <v>146.72499999999999</v>
      </c>
      <c r="H48" s="65">
        <v>595.08900000000006</v>
      </c>
      <c r="I48" s="65">
        <v>3160.9670000000001</v>
      </c>
      <c r="J48" s="66" t="s">
        <v>88</v>
      </c>
      <c r="K48" s="237"/>
    </row>
    <row r="49" spans="2:11" x14ac:dyDescent="0.35">
      <c r="B49" s="234"/>
      <c r="C49" s="64" t="s">
        <v>73</v>
      </c>
      <c r="D49" s="65">
        <v>674.63800000000003</v>
      </c>
      <c r="E49" s="65">
        <v>120.669</v>
      </c>
      <c r="F49" s="65">
        <v>685.34799999999996</v>
      </c>
      <c r="G49" s="65">
        <v>117.13200000000001</v>
      </c>
      <c r="H49" s="65">
        <v>458.50799999999998</v>
      </c>
      <c r="I49" s="65">
        <v>2056.2950000000001</v>
      </c>
      <c r="J49" s="66" t="s">
        <v>89</v>
      </c>
      <c r="K49" s="237"/>
    </row>
    <row r="50" spans="2:11" x14ac:dyDescent="0.35">
      <c r="B50" s="234"/>
      <c r="C50" s="64" t="s">
        <v>74</v>
      </c>
      <c r="D50" s="65">
        <v>101.408</v>
      </c>
      <c r="E50" s="65">
        <v>150.922</v>
      </c>
      <c r="F50" s="65">
        <v>496.03500000000003</v>
      </c>
      <c r="G50" s="65">
        <v>107.373</v>
      </c>
      <c r="H50" s="65">
        <v>648.29999999999995</v>
      </c>
      <c r="I50" s="65">
        <v>1504.038</v>
      </c>
      <c r="J50" s="66" t="s">
        <v>90</v>
      </c>
      <c r="K50" s="237"/>
    </row>
    <row r="51" spans="2:11" x14ac:dyDescent="0.35">
      <c r="B51" s="234"/>
      <c r="C51" s="64" t="s">
        <v>75</v>
      </c>
      <c r="D51" s="65">
        <v>1668.1189999999999</v>
      </c>
      <c r="E51" s="65">
        <v>130.941</v>
      </c>
      <c r="F51" s="65">
        <v>379.964</v>
      </c>
      <c r="G51" s="65">
        <v>118.27500000000001</v>
      </c>
      <c r="H51" s="65">
        <v>492.24099999999999</v>
      </c>
      <c r="I51" s="65">
        <v>2789.54</v>
      </c>
      <c r="J51" s="66" t="s">
        <v>91</v>
      </c>
      <c r="K51" s="237"/>
    </row>
    <row r="52" spans="2:11" x14ac:dyDescent="0.35">
      <c r="B52" s="234"/>
      <c r="C52" s="64" t="s">
        <v>76</v>
      </c>
      <c r="D52" s="65">
        <v>538.83900000000006</v>
      </c>
      <c r="E52" s="65">
        <v>144.81800000000001</v>
      </c>
      <c r="F52" s="65">
        <v>455.33199999999999</v>
      </c>
      <c r="G52" s="65">
        <v>150.29</v>
      </c>
      <c r="H52" s="65">
        <v>466.459</v>
      </c>
      <c r="I52" s="65">
        <v>1755.7380000000001</v>
      </c>
      <c r="J52" s="66" t="s">
        <v>92</v>
      </c>
      <c r="K52" s="237"/>
    </row>
    <row r="53" spans="2:11" x14ac:dyDescent="0.35">
      <c r="B53" s="234"/>
      <c r="C53" s="64" t="s">
        <v>77</v>
      </c>
      <c r="D53" s="65">
        <v>796.61500000000001</v>
      </c>
      <c r="E53" s="65">
        <v>148.85599999999999</v>
      </c>
      <c r="F53" s="65">
        <v>555.95299999999997</v>
      </c>
      <c r="G53" s="65">
        <v>179.983</v>
      </c>
      <c r="H53" s="65">
        <v>457.005</v>
      </c>
      <c r="I53" s="65">
        <v>2138.4119999999998</v>
      </c>
      <c r="J53" s="66" t="s">
        <v>93</v>
      </c>
      <c r="K53" s="237"/>
    </row>
    <row r="54" spans="2:11" x14ac:dyDescent="0.35">
      <c r="B54" s="234"/>
      <c r="C54" s="64" t="s">
        <v>78</v>
      </c>
      <c r="D54" s="65">
        <v>854.68100000000004</v>
      </c>
      <c r="E54" s="65">
        <v>153.19900000000001</v>
      </c>
      <c r="F54" s="65">
        <v>465.45699999999999</v>
      </c>
      <c r="G54" s="65">
        <v>118.828</v>
      </c>
      <c r="H54" s="65">
        <v>379.34100000000001</v>
      </c>
      <c r="I54" s="65">
        <v>1971.5060000000001</v>
      </c>
      <c r="J54" s="66" t="s">
        <v>94</v>
      </c>
      <c r="K54" s="237"/>
    </row>
    <row r="55" spans="2:11" x14ac:dyDescent="0.35">
      <c r="B55" s="234"/>
      <c r="C55" s="64" t="s">
        <v>79</v>
      </c>
      <c r="D55" s="65">
        <v>1066.7059999999999</v>
      </c>
      <c r="E55" s="65">
        <v>177.16</v>
      </c>
      <c r="F55" s="65">
        <v>625.01800000000003</v>
      </c>
      <c r="G55" s="65">
        <v>172.84399999999999</v>
      </c>
      <c r="H55" s="65">
        <v>374.86900000000003</v>
      </c>
      <c r="I55" s="65">
        <v>2416.5970000000002</v>
      </c>
      <c r="J55" s="66" t="s">
        <v>95</v>
      </c>
      <c r="K55" s="237"/>
    </row>
    <row r="56" spans="2:11" x14ac:dyDescent="0.35">
      <c r="B56" s="234"/>
      <c r="C56" s="64" t="s">
        <v>80</v>
      </c>
      <c r="D56" s="65">
        <v>1117.704</v>
      </c>
      <c r="E56" s="65">
        <v>190.262</v>
      </c>
      <c r="F56" s="65">
        <v>686.58299999999997</v>
      </c>
      <c r="G56" s="65">
        <v>159.905</v>
      </c>
      <c r="H56" s="65">
        <v>387.19299999999998</v>
      </c>
      <c r="I56" s="65">
        <v>2541.6469999999999</v>
      </c>
      <c r="J56" s="66" t="s">
        <v>96</v>
      </c>
      <c r="K56" s="237"/>
    </row>
    <row r="57" spans="2:11" x14ac:dyDescent="0.35">
      <c r="B57" s="235"/>
      <c r="C57" s="64" t="s">
        <v>81</v>
      </c>
      <c r="D57" s="65">
        <v>1345.827</v>
      </c>
      <c r="E57" s="65">
        <v>224.02500000000001</v>
      </c>
      <c r="F57" s="65">
        <v>957.73900000000003</v>
      </c>
      <c r="G57" s="65">
        <v>208.23</v>
      </c>
      <c r="H57" s="65">
        <v>410.94400000000002</v>
      </c>
      <c r="I57" s="65">
        <v>3146.7649999999999</v>
      </c>
      <c r="J57" s="66" t="s">
        <v>97</v>
      </c>
      <c r="K57" s="238"/>
    </row>
    <row r="58" spans="2:11" x14ac:dyDescent="0.35">
      <c r="B58" s="67"/>
      <c r="C58" s="68" t="s">
        <v>85</v>
      </c>
      <c r="D58" s="69">
        <v>12330.971</v>
      </c>
      <c r="E58" s="69">
        <v>1975.77</v>
      </c>
      <c r="F58" s="69">
        <v>7505.6769999999997</v>
      </c>
      <c r="G58" s="69">
        <v>1965.394</v>
      </c>
      <c r="H58" s="69">
        <v>5949.6310000000003</v>
      </c>
      <c r="I58" s="69">
        <v>29727.442999999999</v>
      </c>
      <c r="J58" s="70" t="s">
        <v>98</v>
      </c>
      <c r="K58" s="71"/>
    </row>
    <row r="59" spans="2:11" x14ac:dyDescent="0.35">
      <c r="B59" s="233">
        <v>2025</v>
      </c>
      <c r="C59" s="64" t="s">
        <v>70</v>
      </c>
      <c r="D59" s="65">
        <v>1729.6289999999999</v>
      </c>
      <c r="E59" s="65">
        <v>200.108</v>
      </c>
      <c r="F59" s="65">
        <v>868.41899999999998</v>
      </c>
      <c r="G59" s="65">
        <v>219.79300000000001</v>
      </c>
      <c r="H59" s="65">
        <v>535.35500000000002</v>
      </c>
      <c r="I59" s="65">
        <v>3553.3040000000001</v>
      </c>
      <c r="J59" s="66" t="s">
        <v>86</v>
      </c>
      <c r="K59" s="236">
        <v>2025</v>
      </c>
    </row>
    <row r="60" spans="2:11" x14ac:dyDescent="0.35">
      <c r="B60" s="234"/>
      <c r="C60" s="64" t="s">
        <v>71</v>
      </c>
      <c r="D60" s="65">
        <v>1643.9590000000001</v>
      </c>
      <c r="E60" s="65">
        <v>198.53299999999999</v>
      </c>
      <c r="F60" s="65">
        <v>686.64400000000001</v>
      </c>
      <c r="G60" s="65">
        <v>158.95099999999999</v>
      </c>
      <c r="H60" s="65">
        <v>457.416</v>
      </c>
      <c r="I60" s="65">
        <v>3145.5030000000002</v>
      </c>
      <c r="J60" s="66" t="s">
        <v>87</v>
      </c>
      <c r="K60" s="237"/>
    </row>
    <row r="61" spans="2:11" x14ac:dyDescent="0.35">
      <c r="B61" s="234"/>
      <c r="C61" s="64" t="s">
        <v>72</v>
      </c>
      <c r="D61" s="65">
        <v>1374.98</v>
      </c>
      <c r="E61" s="65">
        <v>216.55500000000001</v>
      </c>
      <c r="F61" s="65">
        <v>729.827</v>
      </c>
      <c r="G61" s="65">
        <v>147.477</v>
      </c>
      <c r="H61" s="65">
        <v>418.536</v>
      </c>
      <c r="I61" s="65">
        <v>2887.375</v>
      </c>
      <c r="J61" s="66" t="s">
        <v>88</v>
      </c>
      <c r="K61" s="237"/>
    </row>
    <row r="62" spans="2:11" x14ac:dyDescent="0.35">
      <c r="B62" s="234"/>
      <c r="C62" s="64" t="s">
        <v>73</v>
      </c>
      <c r="D62" s="65">
        <v>473.46300000000002</v>
      </c>
      <c r="E62" s="65">
        <v>175.42400000000001</v>
      </c>
      <c r="F62" s="65">
        <v>564.01400000000001</v>
      </c>
      <c r="G62" s="65">
        <v>102.18899999999999</v>
      </c>
      <c r="H62" s="65">
        <v>302.96199999999999</v>
      </c>
      <c r="I62" s="65">
        <v>1618.0519999999999</v>
      </c>
      <c r="J62" s="66" t="s">
        <v>89</v>
      </c>
      <c r="K62" s="237"/>
    </row>
    <row r="63" spans="2:11" x14ac:dyDescent="0.35">
      <c r="B63" s="234"/>
      <c r="C63" s="64" t="s">
        <v>74</v>
      </c>
      <c r="D63" s="65">
        <v>20.649000000000001</v>
      </c>
      <c r="E63" s="65">
        <v>139.34700000000001</v>
      </c>
      <c r="F63" s="65">
        <v>252.51300000000001</v>
      </c>
      <c r="G63" s="65">
        <v>65.016000000000005</v>
      </c>
      <c r="H63" s="65">
        <v>261.86200000000002</v>
      </c>
      <c r="I63" s="65">
        <v>739.38699999999994</v>
      </c>
      <c r="J63" s="66" t="s">
        <v>90</v>
      </c>
      <c r="K63" s="237"/>
    </row>
    <row r="64" spans="2:11" x14ac:dyDescent="0.35">
      <c r="B64" s="234"/>
      <c r="C64" s="64" t="s">
        <v>75</v>
      </c>
      <c r="D64" s="65">
        <v>1605.8610000000001</v>
      </c>
      <c r="E64" s="65">
        <v>139.744</v>
      </c>
      <c r="F64" s="65">
        <v>271.38499999999999</v>
      </c>
      <c r="G64" s="65">
        <v>90.337000000000003</v>
      </c>
      <c r="H64" s="65">
        <v>256.952</v>
      </c>
      <c r="I64" s="65">
        <v>2364.279</v>
      </c>
      <c r="J64" s="66" t="s">
        <v>91</v>
      </c>
      <c r="K64" s="237"/>
    </row>
    <row r="65" spans="2:11" x14ac:dyDescent="0.35">
      <c r="B65" s="234"/>
      <c r="C65" s="64" t="s">
        <v>76</v>
      </c>
      <c r="D65" s="65">
        <v>930.399</v>
      </c>
      <c r="E65" s="65">
        <v>206.79900000000001</v>
      </c>
      <c r="F65" s="65">
        <v>450.392</v>
      </c>
      <c r="G65" s="65">
        <v>182.39099999999999</v>
      </c>
      <c r="H65" s="65">
        <v>408.05799999999999</v>
      </c>
      <c r="I65" s="65">
        <v>2178.0390000000002</v>
      </c>
      <c r="J65" s="66" t="s">
        <v>92</v>
      </c>
      <c r="K65" s="237"/>
    </row>
    <row r="66" spans="2:11" x14ac:dyDescent="0.35">
      <c r="B66" s="234"/>
      <c r="C66" s="64" t="s">
        <v>77</v>
      </c>
      <c r="D66" s="65">
        <v>1046.1669999999999</v>
      </c>
      <c r="E66" s="65">
        <v>207.61699999999999</v>
      </c>
      <c r="F66" s="65">
        <v>522.202</v>
      </c>
      <c r="G66" s="65">
        <v>121.996</v>
      </c>
      <c r="H66" s="65">
        <v>379.173</v>
      </c>
      <c r="I66" s="65">
        <v>2277.1550000000002</v>
      </c>
      <c r="J66" s="66" t="s">
        <v>93</v>
      </c>
      <c r="K66" s="237"/>
    </row>
    <row r="67" spans="2:11" x14ac:dyDescent="0.35">
      <c r="B67" s="234"/>
      <c r="C67" s="64" t="s">
        <v>78</v>
      </c>
      <c r="D67" s="65">
        <v>1096.2909999999999</v>
      </c>
      <c r="E67" s="65">
        <v>179.82499999999999</v>
      </c>
      <c r="F67" s="65">
        <v>467.86200000000002</v>
      </c>
      <c r="G67" s="65">
        <v>72.116</v>
      </c>
      <c r="H67" s="65">
        <v>343.82600000000002</v>
      </c>
      <c r="I67" s="65">
        <v>2159.92</v>
      </c>
      <c r="J67" s="66" t="s">
        <v>94</v>
      </c>
      <c r="K67" s="237"/>
    </row>
    <row r="68" spans="2:11" x14ac:dyDescent="0.35">
      <c r="B68" s="234"/>
      <c r="C68" s="64" t="s">
        <v>79</v>
      </c>
      <c r="D68" s="65">
        <v>1220.6289999999999</v>
      </c>
      <c r="E68" s="65">
        <v>201.30600000000001</v>
      </c>
      <c r="F68" s="65">
        <v>640.54999999999995</v>
      </c>
      <c r="G68" s="65">
        <v>96.334000000000003</v>
      </c>
      <c r="H68" s="65">
        <v>331.43799999999999</v>
      </c>
      <c r="I68" s="65">
        <v>2490.2570000000001</v>
      </c>
      <c r="J68" s="66" t="s">
        <v>95</v>
      </c>
      <c r="K68" s="237"/>
    </row>
    <row r="69" spans="2:11" x14ac:dyDescent="0.35">
      <c r="B69" s="234"/>
      <c r="C69" s="64" t="s">
        <v>80</v>
      </c>
      <c r="D69" s="65">
        <v>1388.106</v>
      </c>
      <c r="E69" s="65">
        <v>193.36600000000001</v>
      </c>
      <c r="F69" s="65">
        <v>671.35299999999995</v>
      </c>
      <c r="G69" s="65">
        <v>77.570999999999998</v>
      </c>
      <c r="H69" s="65">
        <v>291.67099999999999</v>
      </c>
      <c r="I69" s="65">
        <v>2622.067</v>
      </c>
      <c r="J69" s="66" t="s">
        <v>96</v>
      </c>
      <c r="K69" s="237"/>
    </row>
    <row r="70" spans="2:11" x14ac:dyDescent="0.35">
      <c r="B70" s="235"/>
      <c r="C70" s="64" t="s">
        <v>81</v>
      </c>
      <c r="D70" s="65">
        <v>1585.5360000000001</v>
      </c>
      <c r="E70" s="65">
        <v>191.92099999999999</v>
      </c>
      <c r="F70" s="65">
        <v>914.40800000000002</v>
      </c>
      <c r="G70" s="65">
        <v>143.40100000000001</v>
      </c>
      <c r="H70" s="65">
        <v>384.18299999999999</v>
      </c>
      <c r="I70" s="65">
        <v>3219.4490000000001</v>
      </c>
      <c r="J70" s="66" t="s">
        <v>97</v>
      </c>
      <c r="K70" s="238"/>
    </row>
    <row r="71" spans="2:11" x14ac:dyDescent="0.35">
      <c r="B71" s="67"/>
      <c r="C71" s="68" t="s">
        <v>85</v>
      </c>
      <c r="D71" s="69">
        <v>14115.669</v>
      </c>
      <c r="E71" s="69">
        <v>2250.5450000000001</v>
      </c>
      <c r="F71" s="69">
        <v>7039.5690000000004</v>
      </c>
      <c r="G71" s="69">
        <v>1477.5719999999999</v>
      </c>
      <c r="H71" s="69">
        <v>4371.4319999999998</v>
      </c>
      <c r="I71" s="69">
        <v>29254.787</v>
      </c>
      <c r="J71" s="70" t="s">
        <v>98</v>
      </c>
      <c r="K71" s="71"/>
    </row>
  </sheetData>
  <mergeCells count="12">
    <mergeCell ref="B59:B70"/>
    <mergeCell ref="K59:K70"/>
    <mergeCell ref="B46:B57"/>
    <mergeCell ref="K46:K57"/>
    <mergeCell ref="B33:B44"/>
    <mergeCell ref="K33:K44"/>
    <mergeCell ref="A2:E2"/>
    <mergeCell ref="A3:E3"/>
    <mergeCell ref="B7:B18"/>
    <mergeCell ref="K7:K18"/>
    <mergeCell ref="B20:B31"/>
    <mergeCell ref="K20:K31"/>
  </mergeCells>
  <pageMargins left="0.7" right="0.7" top="0.75" bottom="0.75" header="0.3" footer="0.3"/>
  <pageSetup orientation="portrait" r:id="rId1"/>
  <headerFooter>
    <oddFooter>&amp;C&amp;1#&amp;"Calibri"&amp;11&amp;Kffa500CONFIDENTIAL▮▮مقيّد</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M71"/>
  <sheetViews>
    <sheetView showGridLines="0" zoomScale="80" zoomScaleNormal="80" workbookViewId="0">
      <selection activeCell="A2" sqref="A2:F3"/>
    </sheetView>
  </sheetViews>
  <sheetFormatPr defaultColWidth="8.81640625" defaultRowHeight="14.5" x14ac:dyDescent="0.35"/>
  <cols>
    <col min="3" max="5" width="17.81640625" bestFit="1" customWidth="1"/>
    <col min="6" max="6" width="18.54296875" customWidth="1"/>
    <col min="7" max="7" width="21.453125" customWidth="1"/>
    <col min="8" max="8" width="22.453125" bestFit="1" customWidth="1"/>
    <col min="9" max="9" width="21.453125" customWidth="1"/>
    <col min="10" max="10" width="17.81640625" bestFit="1" customWidth="1"/>
    <col min="11" max="12" width="17.54296875" customWidth="1"/>
    <col min="21" max="21" width="10.1796875" bestFit="1" customWidth="1"/>
    <col min="25" max="25" width="9.1796875" bestFit="1" customWidth="1"/>
  </cols>
  <sheetData>
    <row r="1" spans="1:13" x14ac:dyDescent="0.35">
      <c r="A1" s="9" t="s">
        <v>524</v>
      </c>
    </row>
    <row r="2" spans="1:13" x14ac:dyDescent="0.35">
      <c r="A2" s="239" t="s">
        <v>527</v>
      </c>
      <c r="B2" s="239"/>
      <c r="C2" s="239"/>
      <c r="D2" s="239"/>
      <c r="E2" s="239"/>
      <c r="F2" s="239"/>
    </row>
    <row r="3" spans="1:13" x14ac:dyDescent="0.35">
      <c r="A3" s="239" t="s">
        <v>528</v>
      </c>
      <c r="B3" s="239"/>
      <c r="C3" s="239"/>
      <c r="D3" s="239"/>
      <c r="E3" s="239"/>
      <c r="F3" s="239"/>
    </row>
    <row r="4" spans="1:13" s="15" customFormat="1" ht="18" customHeight="1" x14ac:dyDescent="0.35">
      <c r="A4" s="10" t="s">
        <v>117</v>
      </c>
      <c r="B4" s="30" t="s">
        <v>351</v>
      </c>
      <c r="C4" s="13"/>
      <c r="D4" s="13"/>
      <c r="E4" s="13"/>
      <c r="F4" s="13"/>
      <c r="G4" s="13"/>
      <c r="H4" s="13"/>
      <c r="I4" s="13"/>
      <c r="J4" s="13"/>
      <c r="K4" s="13"/>
      <c r="L4" s="73"/>
      <c r="M4" s="73" t="s">
        <v>331</v>
      </c>
    </row>
    <row r="5" spans="1:13" ht="18" customHeight="1" x14ac:dyDescent="0.35">
      <c r="B5" s="59"/>
      <c r="C5" s="60"/>
      <c r="M5" s="59"/>
    </row>
    <row r="6" spans="1:13" ht="43.5" x14ac:dyDescent="0.35">
      <c r="B6" s="59"/>
      <c r="C6" s="61" t="s">
        <v>99</v>
      </c>
      <c r="D6" s="62" t="s">
        <v>101</v>
      </c>
      <c r="E6" s="62" t="s">
        <v>102</v>
      </c>
      <c r="F6" s="62" t="s">
        <v>103</v>
      </c>
      <c r="G6" s="62" t="s">
        <v>104</v>
      </c>
      <c r="H6" s="62" t="s">
        <v>105</v>
      </c>
      <c r="I6" s="62" t="s">
        <v>106</v>
      </c>
      <c r="J6" s="62" t="s">
        <v>107</v>
      </c>
      <c r="K6" s="62" t="s">
        <v>84</v>
      </c>
      <c r="L6" s="63" t="s">
        <v>100</v>
      </c>
      <c r="M6" s="59"/>
    </row>
    <row r="7" spans="1:13" x14ac:dyDescent="0.35">
      <c r="B7" s="233">
        <v>2021</v>
      </c>
      <c r="C7" s="64" t="s">
        <v>70</v>
      </c>
      <c r="D7" s="65">
        <v>77.346999999999994</v>
      </c>
      <c r="E7" s="65">
        <v>72.283000000000001</v>
      </c>
      <c r="F7" s="65">
        <v>13.246</v>
      </c>
      <c r="G7" s="65">
        <v>59.398000000000003</v>
      </c>
      <c r="H7" s="65">
        <v>5.6269999999999998</v>
      </c>
      <c r="I7" s="65">
        <v>3.129</v>
      </c>
      <c r="J7" s="65">
        <v>1.7350000000000001</v>
      </c>
      <c r="K7" s="65">
        <v>232.76499999999999</v>
      </c>
      <c r="L7" s="66" t="s">
        <v>86</v>
      </c>
      <c r="M7" s="236">
        <v>2021</v>
      </c>
    </row>
    <row r="8" spans="1:13" x14ac:dyDescent="0.35">
      <c r="B8" s="234"/>
      <c r="C8" s="64" t="s">
        <v>71</v>
      </c>
      <c r="D8" s="65">
        <v>35.066120000000005</v>
      </c>
      <c r="E8" s="65">
        <v>29.393000000000001</v>
      </c>
      <c r="F8" s="65">
        <v>9.5138700000000007</v>
      </c>
      <c r="G8" s="65">
        <v>46.334000000000003</v>
      </c>
      <c r="H8" s="65">
        <v>3.2709999999999999</v>
      </c>
      <c r="I8" s="65">
        <v>1.1819999999999999</v>
      </c>
      <c r="J8" s="65">
        <v>0.27200000000000002</v>
      </c>
      <c r="K8" s="65">
        <v>125.03199000000001</v>
      </c>
      <c r="L8" s="66" t="s">
        <v>87</v>
      </c>
      <c r="M8" s="237"/>
    </row>
    <row r="9" spans="1:13" x14ac:dyDescent="0.35">
      <c r="B9" s="234"/>
      <c r="C9" s="64" t="s">
        <v>72</v>
      </c>
      <c r="D9" s="65">
        <v>30.934990000000003</v>
      </c>
      <c r="E9" s="65">
        <v>37.167999999999999</v>
      </c>
      <c r="F9" s="65">
        <v>18.754000000000001</v>
      </c>
      <c r="G9" s="65">
        <v>55.802999999999997</v>
      </c>
      <c r="H9" s="65">
        <v>3.5979999999999999</v>
      </c>
      <c r="I9" s="65">
        <v>1.698</v>
      </c>
      <c r="J9" s="65">
        <v>0.33800000000000002</v>
      </c>
      <c r="K9" s="65">
        <v>148.29398999999998</v>
      </c>
      <c r="L9" s="66" t="s">
        <v>88</v>
      </c>
      <c r="M9" s="237"/>
    </row>
    <row r="10" spans="1:13" x14ac:dyDescent="0.35">
      <c r="B10" s="234"/>
      <c r="C10" s="64" t="s">
        <v>73</v>
      </c>
      <c r="D10" s="65">
        <v>44.677199999999999</v>
      </c>
      <c r="E10" s="65">
        <v>40.305</v>
      </c>
      <c r="F10" s="65">
        <v>32.273000000000003</v>
      </c>
      <c r="G10" s="65">
        <v>52.014000000000003</v>
      </c>
      <c r="H10" s="65">
        <v>3.81</v>
      </c>
      <c r="I10" s="65">
        <v>2.6360000000000001</v>
      </c>
      <c r="J10" s="65">
        <v>0.316</v>
      </c>
      <c r="K10" s="65">
        <v>176.03120000000001</v>
      </c>
      <c r="L10" s="66" t="s">
        <v>89</v>
      </c>
      <c r="M10" s="237"/>
    </row>
    <row r="11" spans="1:13" x14ac:dyDescent="0.35">
      <c r="B11" s="234"/>
      <c r="C11" s="64" t="s">
        <v>74</v>
      </c>
      <c r="D11" s="65">
        <v>73.033059999999992</v>
      </c>
      <c r="E11" s="65">
        <v>36.984000000000002</v>
      </c>
      <c r="F11" s="65">
        <v>16.562000000000001</v>
      </c>
      <c r="G11" s="65">
        <v>47.152999999999999</v>
      </c>
      <c r="H11" s="65">
        <v>3.798</v>
      </c>
      <c r="I11" s="65">
        <v>2.855</v>
      </c>
      <c r="J11" s="65">
        <v>4.46</v>
      </c>
      <c r="K11" s="65">
        <v>184.84505999999999</v>
      </c>
      <c r="L11" s="66" t="s">
        <v>90</v>
      </c>
      <c r="M11" s="237"/>
    </row>
    <row r="12" spans="1:13" x14ac:dyDescent="0.35">
      <c r="B12" s="234"/>
      <c r="C12" s="64" t="s">
        <v>75</v>
      </c>
      <c r="D12" s="65">
        <v>63.116289999999999</v>
      </c>
      <c r="E12" s="65">
        <v>45.828000000000003</v>
      </c>
      <c r="F12" s="65">
        <v>9.5570000000000004</v>
      </c>
      <c r="G12" s="65">
        <v>45.826000000000001</v>
      </c>
      <c r="H12" s="65">
        <v>5.6920000000000002</v>
      </c>
      <c r="I12" s="65">
        <v>4.1719999999999997</v>
      </c>
      <c r="J12" s="65">
        <v>1.24</v>
      </c>
      <c r="K12" s="65">
        <v>175.43129000000002</v>
      </c>
      <c r="L12" s="66" t="s">
        <v>91</v>
      </c>
      <c r="M12" s="237"/>
    </row>
    <row r="13" spans="1:13" x14ac:dyDescent="0.35">
      <c r="B13" s="234"/>
      <c r="C13" s="64" t="s">
        <v>76</v>
      </c>
      <c r="D13" s="65">
        <v>114.74119999999999</v>
      </c>
      <c r="E13" s="65">
        <v>45.98</v>
      </c>
      <c r="F13" s="65">
        <v>16.396999999999998</v>
      </c>
      <c r="G13" s="65">
        <v>40.051000000000002</v>
      </c>
      <c r="H13" s="65">
        <v>5.5640000000000001</v>
      </c>
      <c r="I13" s="65">
        <v>4.1340000000000003</v>
      </c>
      <c r="J13" s="65">
        <v>4.4279999999999999</v>
      </c>
      <c r="K13" s="65">
        <v>231.29520000000002</v>
      </c>
      <c r="L13" s="66" t="s">
        <v>92</v>
      </c>
      <c r="M13" s="237"/>
    </row>
    <row r="14" spans="1:13" x14ac:dyDescent="0.35">
      <c r="B14" s="234"/>
      <c r="C14" s="64" t="s">
        <v>77</v>
      </c>
      <c r="D14" s="65">
        <v>112.54303999999999</v>
      </c>
      <c r="E14" s="65">
        <v>63.3</v>
      </c>
      <c r="F14" s="65">
        <v>10.984</v>
      </c>
      <c r="G14" s="65">
        <v>49.326999999999998</v>
      </c>
      <c r="H14" s="65">
        <v>10.034000000000001</v>
      </c>
      <c r="I14" s="65">
        <v>5.3890000000000002</v>
      </c>
      <c r="J14" s="65">
        <v>5.7869999999999999</v>
      </c>
      <c r="K14" s="65">
        <v>257.36403999999999</v>
      </c>
      <c r="L14" s="66" t="s">
        <v>93</v>
      </c>
      <c r="M14" s="237"/>
    </row>
    <row r="15" spans="1:13" x14ac:dyDescent="0.35">
      <c r="B15" s="234"/>
      <c r="C15" s="64" t="s">
        <v>78</v>
      </c>
      <c r="D15" s="65">
        <v>129.89608000000001</v>
      </c>
      <c r="E15" s="65">
        <v>82.908000000000001</v>
      </c>
      <c r="F15" s="65">
        <v>13.648</v>
      </c>
      <c r="G15" s="65">
        <v>56.646999999999998</v>
      </c>
      <c r="H15" s="65">
        <v>16.106999999999999</v>
      </c>
      <c r="I15" s="65">
        <v>6.7969999999999997</v>
      </c>
      <c r="J15" s="65">
        <v>2.16</v>
      </c>
      <c r="K15" s="65">
        <v>308.16308000000004</v>
      </c>
      <c r="L15" s="66" t="s">
        <v>94</v>
      </c>
      <c r="M15" s="237"/>
    </row>
    <row r="16" spans="1:13" x14ac:dyDescent="0.35">
      <c r="B16" s="234"/>
      <c r="C16" s="64" t="s">
        <v>79</v>
      </c>
      <c r="D16" s="65">
        <v>159.11069000000001</v>
      </c>
      <c r="E16" s="65">
        <v>137.69</v>
      </c>
      <c r="F16" s="65">
        <v>21.638000000000002</v>
      </c>
      <c r="G16" s="65">
        <v>76.613</v>
      </c>
      <c r="H16" s="65">
        <v>30.297999999999998</v>
      </c>
      <c r="I16" s="65">
        <v>11.146000000000001</v>
      </c>
      <c r="J16" s="65">
        <v>16.489000000000001</v>
      </c>
      <c r="K16" s="65">
        <v>452.98469</v>
      </c>
      <c r="L16" s="66" t="s">
        <v>95</v>
      </c>
      <c r="M16" s="237"/>
    </row>
    <row r="17" spans="2:13" x14ac:dyDescent="0.35">
      <c r="B17" s="234"/>
      <c r="C17" s="64" t="s">
        <v>80</v>
      </c>
      <c r="D17" s="65">
        <v>179.18321</v>
      </c>
      <c r="E17" s="65">
        <v>125.795</v>
      </c>
      <c r="F17" s="65">
        <v>31.716999999999999</v>
      </c>
      <c r="G17" s="65">
        <v>83.656000000000006</v>
      </c>
      <c r="H17" s="65">
        <v>41.171999999999997</v>
      </c>
      <c r="I17" s="65">
        <v>16.887</v>
      </c>
      <c r="J17" s="65">
        <v>15.183</v>
      </c>
      <c r="K17" s="65">
        <v>493.59321</v>
      </c>
      <c r="L17" s="66" t="s">
        <v>96</v>
      </c>
      <c r="M17" s="237"/>
    </row>
    <row r="18" spans="2:13" x14ac:dyDescent="0.35">
      <c r="B18" s="235"/>
      <c r="C18" s="64" t="s">
        <v>81</v>
      </c>
      <c r="D18" s="65">
        <v>262.84654</v>
      </c>
      <c r="E18" s="65">
        <v>171.803</v>
      </c>
      <c r="F18" s="65">
        <v>24.809000000000001</v>
      </c>
      <c r="G18" s="65">
        <v>126.467</v>
      </c>
      <c r="H18" s="65">
        <v>58.902999999999999</v>
      </c>
      <c r="I18" s="65">
        <v>19.978000000000002</v>
      </c>
      <c r="J18" s="65">
        <v>26.611000000000001</v>
      </c>
      <c r="K18" s="65">
        <v>691.41754000000003</v>
      </c>
      <c r="L18" s="66" t="s">
        <v>97</v>
      </c>
      <c r="M18" s="238"/>
    </row>
    <row r="19" spans="2:13" x14ac:dyDescent="0.35">
      <c r="B19" s="67"/>
      <c r="C19" s="68" t="s">
        <v>85</v>
      </c>
      <c r="D19" s="69">
        <v>1282.4954299999999</v>
      </c>
      <c r="E19" s="69">
        <v>889.43700000000001</v>
      </c>
      <c r="F19" s="69">
        <v>219.09887000000001</v>
      </c>
      <c r="G19" s="69">
        <v>739.28899999999999</v>
      </c>
      <c r="H19" s="69">
        <v>187.874</v>
      </c>
      <c r="I19" s="69">
        <v>80.003</v>
      </c>
      <c r="J19" s="69">
        <v>79.019000000000005</v>
      </c>
      <c r="K19" s="69">
        <v>3477.2163100000002</v>
      </c>
      <c r="L19" s="70" t="s">
        <v>98</v>
      </c>
      <c r="M19" s="71"/>
    </row>
    <row r="20" spans="2:13" x14ac:dyDescent="0.35">
      <c r="B20" s="233">
        <v>2022</v>
      </c>
      <c r="C20" s="64" t="s">
        <v>70</v>
      </c>
      <c r="D20" s="65">
        <v>190.78416000000001</v>
      </c>
      <c r="E20" s="65">
        <v>146.34609</v>
      </c>
      <c r="F20" s="65">
        <v>15.916930000000001</v>
      </c>
      <c r="G20" s="65">
        <v>125.92009</v>
      </c>
      <c r="H20" s="65">
        <v>56.840859999999999</v>
      </c>
      <c r="I20" s="65">
        <v>12.822760000000001</v>
      </c>
      <c r="J20" s="65">
        <v>0.30499999999999999</v>
      </c>
      <c r="K20" s="65">
        <v>548.93590000000006</v>
      </c>
      <c r="L20" s="66" t="s">
        <v>86</v>
      </c>
      <c r="M20" s="236">
        <v>2022</v>
      </c>
    </row>
    <row r="21" spans="2:13" x14ac:dyDescent="0.35">
      <c r="B21" s="234"/>
      <c r="C21" s="64" t="s">
        <v>71</v>
      </c>
      <c r="D21" s="65">
        <v>213.15227999999999</v>
      </c>
      <c r="E21" s="65">
        <v>191.98948000000001</v>
      </c>
      <c r="F21" s="65">
        <v>24.274819999999998</v>
      </c>
      <c r="G21" s="65">
        <v>169.29567</v>
      </c>
      <c r="H21" s="65">
        <v>74.045839999999998</v>
      </c>
      <c r="I21" s="65">
        <v>15.84366</v>
      </c>
      <c r="J21" s="65">
        <v>0.438</v>
      </c>
      <c r="K21" s="65">
        <v>689.03973999999994</v>
      </c>
      <c r="L21" s="66" t="s">
        <v>87</v>
      </c>
      <c r="M21" s="237"/>
    </row>
    <row r="22" spans="2:13" x14ac:dyDescent="0.35">
      <c r="B22" s="234"/>
      <c r="C22" s="64" t="s">
        <v>72</v>
      </c>
      <c r="D22" s="65">
        <v>461.36387999999999</v>
      </c>
      <c r="E22" s="65">
        <v>279.41480999999999</v>
      </c>
      <c r="F22" s="65">
        <v>58.204680000000003</v>
      </c>
      <c r="G22" s="65">
        <v>309.74916999999999</v>
      </c>
      <c r="H22" s="65">
        <v>80.411059999999992</v>
      </c>
      <c r="I22" s="65">
        <v>27.391099999999998</v>
      </c>
      <c r="J22" s="65">
        <v>0.57899999999999996</v>
      </c>
      <c r="K22" s="65">
        <v>1217.1136999999999</v>
      </c>
      <c r="L22" s="66" t="s">
        <v>88</v>
      </c>
      <c r="M22" s="237"/>
    </row>
    <row r="23" spans="2:13" x14ac:dyDescent="0.35">
      <c r="B23" s="234"/>
      <c r="C23" s="64" t="s">
        <v>73</v>
      </c>
      <c r="D23" s="65">
        <v>456.64719000000002</v>
      </c>
      <c r="E23" s="65">
        <v>377.80996999999996</v>
      </c>
      <c r="F23" s="65">
        <v>209.69404999999998</v>
      </c>
      <c r="G23" s="65">
        <v>423.24115</v>
      </c>
      <c r="H23" s="65">
        <v>111.59662</v>
      </c>
      <c r="I23" s="65">
        <v>32.993910000000007</v>
      </c>
      <c r="J23" s="65">
        <v>0.504</v>
      </c>
      <c r="K23" s="65">
        <v>1612.4868899999999</v>
      </c>
      <c r="L23" s="66" t="s">
        <v>89</v>
      </c>
      <c r="M23" s="237"/>
    </row>
    <row r="24" spans="2:13" x14ac:dyDescent="0.35">
      <c r="B24" s="234"/>
      <c r="C24" s="64" t="s">
        <v>74</v>
      </c>
      <c r="D24" s="65">
        <v>455.96960999999999</v>
      </c>
      <c r="E24" s="65">
        <v>179.4538</v>
      </c>
      <c r="F24" s="65">
        <v>52.058810000000001</v>
      </c>
      <c r="G24" s="65">
        <v>333.90526</v>
      </c>
      <c r="H24" s="65">
        <v>62.185809999999996</v>
      </c>
      <c r="I24" s="65">
        <v>20.37856</v>
      </c>
      <c r="J24" s="65">
        <v>0.41899999999999998</v>
      </c>
      <c r="K24" s="65">
        <v>1104.37085</v>
      </c>
      <c r="L24" s="66" t="s">
        <v>90</v>
      </c>
      <c r="M24" s="237"/>
    </row>
    <row r="25" spans="2:13" x14ac:dyDescent="0.35">
      <c r="B25" s="234"/>
      <c r="C25" s="64" t="s">
        <v>75</v>
      </c>
      <c r="D25" s="65">
        <v>421.78921000000003</v>
      </c>
      <c r="E25" s="65">
        <v>201.45964000000001</v>
      </c>
      <c r="F25" s="65">
        <v>42.144649999999999</v>
      </c>
      <c r="G25" s="65">
        <v>160.52657000000002</v>
      </c>
      <c r="H25" s="65">
        <v>26.768369999999997</v>
      </c>
      <c r="I25" s="65">
        <v>14.30176</v>
      </c>
      <c r="J25" s="65">
        <v>0.22600000000000001</v>
      </c>
      <c r="K25" s="65">
        <v>867.21619999999996</v>
      </c>
      <c r="L25" s="66" t="s">
        <v>91</v>
      </c>
      <c r="M25" s="237"/>
    </row>
    <row r="26" spans="2:13" x14ac:dyDescent="0.35">
      <c r="B26" s="234"/>
      <c r="C26" s="64" t="s">
        <v>76</v>
      </c>
      <c r="D26" s="65">
        <v>677.00490000000002</v>
      </c>
      <c r="E26" s="65">
        <v>233.37778</v>
      </c>
      <c r="F26" s="65">
        <v>173.50774999999999</v>
      </c>
      <c r="G26" s="65">
        <v>561.78246999999999</v>
      </c>
      <c r="H26" s="65">
        <v>100.57236</v>
      </c>
      <c r="I26" s="65">
        <v>18.043320000000001</v>
      </c>
      <c r="J26" s="65">
        <v>1.33768</v>
      </c>
      <c r="K26" s="65">
        <v>1765.62625</v>
      </c>
      <c r="L26" s="66" t="s">
        <v>92</v>
      </c>
      <c r="M26" s="237"/>
    </row>
    <row r="27" spans="2:13" x14ac:dyDescent="0.35">
      <c r="B27" s="234"/>
      <c r="C27" s="64" t="s">
        <v>77</v>
      </c>
      <c r="D27" s="65">
        <v>605.77697000000001</v>
      </c>
      <c r="E27" s="65">
        <v>249.0909</v>
      </c>
      <c r="F27" s="65">
        <v>34.529489999999996</v>
      </c>
      <c r="G27" s="65">
        <v>342.63948999999997</v>
      </c>
      <c r="H27" s="65">
        <v>59.466970000000003</v>
      </c>
      <c r="I27" s="65">
        <v>18.79569</v>
      </c>
      <c r="J27" s="65">
        <v>0.27300000000000002</v>
      </c>
      <c r="K27" s="65">
        <v>1310.5725199999999</v>
      </c>
      <c r="L27" s="66" t="s">
        <v>93</v>
      </c>
      <c r="M27" s="237"/>
    </row>
    <row r="28" spans="2:13" x14ac:dyDescent="0.35">
      <c r="B28" s="234"/>
      <c r="C28" s="64" t="s">
        <v>78</v>
      </c>
      <c r="D28" s="65">
        <v>500.24493999999999</v>
      </c>
      <c r="E28" s="65">
        <v>300.17051000000004</v>
      </c>
      <c r="F28" s="65">
        <v>54.456530000000001</v>
      </c>
      <c r="G28" s="65">
        <v>571.10082</v>
      </c>
      <c r="H28" s="65">
        <v>93.665419999999997</v>
      </c>
      <c r="I28" s="65">
        <v>18.835069999999998</v>
      </c>
      <c r="J28" s="65">
        <v>0.504</v>
      </c>
      <c r="K28" s="65">
        <v>1538.97729</v>
      </c>
      <c r="L28" s="66" t="s">
        <v>94</v>
      </c>
      <c r="M28" s="237"/>
    </row>
    <row r="29" spans="2:13" x14ac:dyDescent="0.35">
      <c r="B29" s="234"/>
      <c r="C29" s="64" t="s">
        <v>79</v>
      </c>
      <c r="D29" s="65">
        <v>485.41109999999998</v>
      </c>
      <c r="E29" s="65">
        <v>344.09118000000001</v>
      </c>
      <c r="F29" s="65">
        <v>100.72460000000001</v>
      </c>
      <c r="G29" s="65">
        <v>628.75952000000007</v>
      </c>
      <c r="H29" s="65">
        <v>165.96073000000001</v>
      </c>
      <c r="I29" s="65">
        <v>26.94773</v>
      </c>
      <c r="J29" s="65">
        <v>0.879</v>
      </c>
      <c r="K29" s="65">
        <v>1752.7738700000002</v>
      </c>
      <c r="L29" s="66" t="s">
        <v>95</v>
      </c>
      <c r="M29" s="237"/>
    </row>
    <row r="30" spans="2:13" x14ac:dyDescent="0.35">
      <c r="B30" s="234"/>
      <c r="C30" s="64" t="s">
        <v>80</v>
      </c>
      <c r="D30" s="65">
        <v>513.99144000000001</v>
      </c>
      <c r="E30" s="65">
        <v>379.07988</v>
      </c>
      <c r="F30" s="65">
        <v>110.46382000000001</v>
      </c>
      <c r="G30" s="65">
        <v>590.97091</v>
      </c>
      <c r="H30" s="65">
        <v>194.75764000000001</v>
      </c>
      <c r="I30" s="65">
        <v>49.720410000000001</v>
      </c>
      <c r="J30" s="65">
        <v>1.0369999999999999</v>
      </c>
      <c r="K30" s="65">
        <v>1840.02108</v>
      </c>
      <c r="L30" s="66" t="s">
        <v>96</v>
      </c>
      <c r="M30" s="237"/>
    </row>
    <row r="31" spans="2:13" x14ac:dyDescent="0.35">
      <c r="B31" s="235"/>
      <c r="C31" s="64" t="s">
        <v>81</v>
      </c>
      <c r="D31" s="65">
        <v>823.24490000000003</v>
      </c>
      <c r="E31" s="65">
        <v>412.62984</v>
      </c>
      <c r="F31" s="65">
        <v>156.33945</v>
      </c>
      <c r="G31" s="65">
        <v>673.12301000000002</v>
      </c>
      <c r="H31" s="65">
        <v>264.92446999999999</v>
      </c>
      <c r="I31" s="65">
        <v>58.81962</v>
      </c>
      <c r="J31" s="65">
        <v>1.645</v>
      </c>
      <c r="K31" s="65">
        <v>2390.7262900000001</v>
      </c>
      <c r="L31" s="66" t="s">
        <v>97</v>
      </c>
      <c r="M31" s="238"/>
    </row>
    <row r="32" spans="2:13" x14ac:dyDescent="0.35">
      <c r="B32" s="67"/>
      <c r="C32" s="68" t="s">
        <v>85</v>
      </c>
      <c r="D32" s="69">
        <v>5805.3805899999998</v>
      </c>
      <c r="E32" s="69">
        <v>3294.9138399999997</v>
      </c>
      <c r="F32" s="69">
        <v>1032.31557</v>
      </c>
      <c r="G32" s="69">
        <v>4891.0141399999993</v>
      </c>
      <c r="H32" s="69">
        <v>1291.19616</v>
      </c>
      <c r="I32" s="69">
        <v>314.89359999999999</v>
      </c>
      <c r="J32" s="69">
        <v>8.1466799999999999</v>
      </c>
      <c r="K32" s="69">
        <v>16637.86058</v>
      </c>
      <c r="L32" s="70" t="s">
        <v>98</v>
      </c>
      <c r="M32" s="71"/>
    </row>
    <row r="33" spans="2:13" x14ac:dyDescent="0.35">
      <c r="B33" s="233">
        <v>2023</v>
      </c>
      <c r="C33" s="64" t="s">
        <v>70</v>
      </c>
      <c r="D33" s="65">
        <v>896.96600000000001</v>
      </c>
      <c r="E33" s="65">
        <v>474.08699999999999</v>
      </c>
      <c r="F33" s="65">
        <v>141.21</v>
      </c>
      <c r="G33" s="65">
        <v>651.33399999999995</v>
      </c>
      <c r="H33" s="65">
        <v>276.55</v>
      </c>
      <c r="I33" s="65">
        <v>40.085999999999999</v>
      </c>
      <c r="J33" s="65">
        <v>1.6359999999999999</v>
      </c>
      <c r="K33" s="65">
        <v>2481.8690000000001</v>
      </c>
      <c r="L33" s="66" t="s">
        <v>86</v>
      </c>
      <c r="M33" s="236">
        <v>2023</v>
      </c>
    </row>
    <row r="34" spans="2:13" x14ac:dyDescent="0.35">
      <c r="B34" s="234"/>
      <c r="C34" s="64" t="s">
        <v>71</v>
      </c>
      <c r="D34" s="65">
        <v>790.601</v>
      </c>
      <c r="E34" s="65">
        <v>518.05799999999999</v>
      </c>
      <c r="F34" s="65">
        <v>144.66800000000001</v>
      </c>
      <c r="G34" s="65">
        <v>678.48099999999999</v>
      </c>
      <c r="H34" s="65">
        <v>286.63499999999999</v>
      </c>
      <c r="I34" s="65">
        <v>35.786999999999999</v>
      </c>
      <c r="J34" s="65">
        <v>1.5469999999999999</v>
      </c>
      <c r="K34" s="65">
        <v>2455.777</v>
      </c>
      <c r="L34" s="66" t="s">
        <v>87</v>
      </c>
      <c r="M34" s="237"/>
    </row>
    <row r="35" spans="2:13" x14ac:dyDescent="0.35">
      <c r="B35" s="234"/>
      <c r="C35" s="64" t="s">
        <v>72</v>
      </c>
      <c r="D35" s="65">
        <v>763.33</v>
      </c>
      <c r="E35" s="65">
        <v>720.01900000000001</v>
      </c>
      <c r="F35" s="65">
        <v>320.88400000000001</v>
      </c>
      <c r="G35" s="65">
        <v>752.28599999999994</v>
      </c>
      <c r="H35" s="65">
        <v>261.41899999999998</v>
      </c>
      <c r="I35" s="65">
        <v>49.826000000000001</v>
      </c>
      <c r="J35" s="65">
        <v>1.7829999999999999</v>
      </c>
      <c r="K35" s="65">
        <v>2869.547</v>
      </c>
      <c r="L35" s="66" t="s">
        <v>88</v>
      </c>
      <c r="M35" s="237"/>
    </row>
    <row r="36" spans="2:13" x14ac:dyDescent="0.35">
      <c r="B36" s="234"/>
      <c r="C36" s="64" t="s">
        <v>73</v>
      </c>
      <c r="D36" s="65">
        <v>774.79899999999998</v>
      </c>
      <c r="E36" s="65">
        <v>474.80799999999999</v>
      </c>
      <c r="F36" s="65">
        <v>298.78500000000003</v>
      </c>
      <c r="G36" s="65">
        <v>619.29399999999998</v>
      </c>
      <c r="H36" s="65">
        <v>217.339</v>
      </c>
      <c r="I36" s="65">
        <v>37.76</v>
      </c>
      <c r="J36" s="65">
        <v>1.3560000000000001</v>
      </c>
      <c r="K36" s="65">
        <v>2424.1410000000001</v>
      </c>
      <c r="L36" s="66" t="s">
        <v>89</v>
      </c>
      <c r="M36" s="237"/>
    </row>
    <row r="37" spans="2:13" x14ac:dyDescent="0.35">
      <c r="B37" s="234"/>
      <c r="C37" s="64" t="s">
        <v>74</v>
      </c>
      <c r="D37" s="65">
        <v>535.20100000000002</v>
      </c>
      <c r="E37" s="65">
        <v>386.60300000000001</v>
      </c>
      <c r="F37" s="65">
        <v>74.094999999999999</v>
      </c>
      <c r="G37" s="65">
        <v>386.34800000000001</v>
      </c>
      <c r="H37" s="65">
        <v>102.846</v>
      </c>
      <c r="I37" s="65">
        <v>28.048999999999999</v>
      </c>
      <c r="J37" s="65">
        <v>1.258</v>
      </c>
      <c r="K37" s="65">
        <v>1514.4</v>
      </c>
      <c r="L37" s="66" t="s">
        <v>90</v>
      </c>
      <c r="M37" s="237"/>
    </row>
    <row r="38" spans="2:13" x14ac:dyDescent="0.35">
      <c r="B38" s="234"/>
      <c r="C38" s="64" t="s">
        <v>75</v>
      </c>
      <c r="D38" s="65">
        <v>720.03700000000003</v>
      </c>
      <c r="E38" s="65">
        <v>455.32100000000003</v>
      </c>
      <c r="F38" s="65">
        <v>373.78500000000003</v>
      </c>
      <c r="G38" s="65">
        <v>1041.2070000000001</v>
      </c>
      <c r="H38" s="65">
        <v>231.69800000000001</v>
      </c>
      <c r="I38" s="65">
        <v>22.716999999999999</v>
      </c>
      <c r="J38" s="65">
        <v>2.73</v>
      </c>
      <c r="K38" s="65">
        <v>2847.4949999999999</v>
      </c>
      <c r="L38" s="66" t="s">
        <v>91</v>
      </c>
      <c r="M38" s="237"/>
    </row>
    <row r="39" spans="2:13" x14ac:dyDescent="0.35">
      <c r="B39" s="234"/>
      <c r="C39" s="64" t="s">
        <v>76</v>
      </c>
      <c r="D39" s="65">
        <v>748.06</v>
      </c>
      <c r="E39" s="65">
        <v>247.881</v>
      </c>
      <c r="F39" s="65">
        <v>29.170999999999999</v>
      </c>
      <c r="G39" s="65">
        <v>231.91800000000001</v>
      </c>
      <c r="H39" s="65">
        <v>67.977000000000004</v>
      </c>
      <c r="I39" s="65">
        <v>24.106000000000002</v>
      </c>
      <c r="J39" s="65">
        <v>0.65700000000000003</v>
      </c>
      <c r="K39" s="65">
        <v>1349.77</v>
      </c>
      <c r="L39" s="66" t="s">
        <v>92</v>
      </c>
      <c r="M39" s="237"/>
    </row>
    <row r="40" spans="2:13" x14ac:dyDescent="0.35">
      <c r="B40" s="234"/>
      <c r="C40" s="64" t="s">
        <v>77</v>
      </c>
      <c r="D40" s="65">
        <v>825.35900000000004</v>
      </c>
      <c r="E40" s="65">
        <v>377.36200000000002</v>
      </c>
      <c r="F40" s="65">
        <v>68.873999999999995</v>
      </c>
      <c r="G40" s="65">
        <v>664.57299999999998</v>
      </c>
      <c r="H40" s="65">
        <v>139.98099999999999</v>
      </c>
      <c r="I40" s="65">
        <v>32.220999999999997</v>
      </c>
      <c r="J40" s="65">
        <v>0.86299999999999999</v>
      </c>
      <c r="K40" s="65">
        <v>2109.2330000000002</v>
      </c>
      <c r="L40" s="66" t="s">
        <v>93</v>
      </c>
      <c r="M40" s="237"/>
    </row>
    <row r="41" spans="2:13" x14ac:dyDescent="0.35">
      <c r="B41" s="234"/>
      <c r="C41" s="64" t="s">
        <v>78</v>
      </c>
      <c r="D41" s="65">
        <v>621.577</v>
      </c>
      <c r="E41" s="65">
        <v>445.27199999999999</v>
      </c>
      <c r="F41" s="65">
        <v>124.254</v>
      </c>
      <c r="G41" s="65">
        <v>653.03800000000001</v>
      </c>
      <c r="H41" s="65">
        <v>164.654</v>
      </c>
      <c r="I41" s="65">
        <v>29.727</v>
      </c>
      <c r="J41" s="65">
        <v>1.3959999999999999</v>
      </c>
      <c r="K41" s="65">
        <v>2039.9179999999999</v>
      </c>
      <c r="L41" s="66" t="s">
        <v>94</v>
      </c>
      <c r="M41" s="237"/>
    </row>
    <row r="42" spans="2:13" x14ac:dyDescent="0.35">
      <c r="B42" s="234"/>
      <c r="C42" s="64" t="s">
        <v>79</v>
      </c>
      <c r="D42" s="65">
        <v>521.45600000000002</v>
      </c>
      <c r="E42" s="65">
        <v>455.16899999999998</v>
      </c>
      <c r="F42" s="65">
        <v>137.28399999999999</v>
      </c>
      <c r="G42" s="65">
        <v>740.19399999999996</v>
      </c>
      <c r="H42" s="65">
        <v>294.33999999999997</v>
      </c>
      <c r="I42" s="65">
        <v>40.557000000000002</v>
      </c>
      <c r="J42" s="65">
        <v>2.0390000000000001</v>
      </c>
      <c r="K42" s="65">
        <v>2191.0390000000002</v>
      </c>
      <c r="L42" s="66" t="s">
        <v>95</v>
      </c>
      <c r="M42" s="237"/>
    </row>
    <row r="43" spans="2:13" x14ac:dyDescent="0.35">
      <c r="B43" s="234"/>
      <c r="C43" s="64" t="s">
        <v>80</v>
      </c>
      <c r="D43" s="65">
        <v>537.91499999999996</v>
      </c>
      <c r="E43" s="65">
        <v>479.74400000000003</v>
      </c>
      <c r="F43" s="65">
        <v>127.249</v>
      </c>
      <c r="G43" s="65">
        <v>736.01700000000005</v>
      </c>
      <c r="H43" s="65">
        <v>299.12299999999999</v>
      </c>
      <c r="I43" s="65">
        <v>55.468000000000004</v>
      </c>
      <c r="J43" s="65">
        <v>2.0419999999999998</v>
      </c>
      <c r="K43" s="65">
        <v>2237.558</v>
      </c>
      <c r="L43" s="66" t="s">
        <v>96</v>
      </c>
      <c r="M43" s="237"/>
    </row>
    <row r="44" spans="2:13" x14ac:dyDescent="0.35">
      <c r="B44" s="235"/>
      <c r="C44" s="64" t="s">
        <v>81</v>
      </c>
      <c r="D44" s="65">
        <v>895.89</v>
      </c>
      <c r="E44" s="65">
        <v>562.96100000000001</v>
      </c>
      <c r="F44" s="65">
        <v>201.59800000000001</v>
      </c>
      <c r="G44" s="65">
        <v>788.81700000000001</v>
      </c>
      <c r="H44" s="65">
        <v>376.67099999999999</v>
      </c>
      <c r="I44" s="65">
        <v>74.147000000000006</v>
      </c>
      <c r="J44" s="65">
        <v>2.7050000000000001</v>
      </c>
      <c r="K44" s="65">
        <v>2902.7890000000002</v>
      </c>
      <c r="L44" s="66" t="s">
        <v>97</v>
      </c>
      <c r="M44" s="238"/>
    </row>
    <row r="45" spans="2:13" x14ac:dyDescent="0.35">
      <c r="B45" s="67"/>
      <c r="C45" s="68" t="s">
        <v>85</v>
      </c>
      <c r="D45" s="69">
        <v>8631.1910000000007</v>
      </c>
      <c r="E45" s="69">
        <v>5597.2849999999999</v>
      </c>
      <c r="F45" s="69">
        <v>2041.857</v>
      </c>
      <c r="G45" s="69">
        <v>7943.5069999999996</v>
      </c>
      <c r="H45" s="69">
        <v>2719.2330000000002</v>
      </c>
      <c r="I45" s="69">
        <v>470.45100000000002</v>
      </c>
      <c r="J45" s="69">
        <v>20.012</v>
      </c>
      <c r="K45" s="69">
        <v>27423.536</v>
      </c>
      <c r="L45" s="70" t="s">
        <v>98</v>
      </c>
      <c r="M45" s="71"/>
    </row>
    <row r="46" spans="2:13" x14ac:dyDescent="0.35">
      <c r="B46" s="233">
        <v>2024</v>
      </c>
      <c r="C46" s="64" t="s">
        <v>70</v>
      </c>
      <c r="D46" s="65">
        <v>1062.6020000000001</v>
      </c>
      <c r="E46" s="65">
        <v>696.46299999999997</v>
      </c>
      <c r="F46" s="65">
        <v>181.33199999999999</v>
      </c>
      <c r="G46" s="65">
        <v>737.346</v>
      </c>
      <c r="H46" s="65">
        <v>396.78</v>
      </c>
      <c r="I46" s="65">
        <v>57.225999999999999</v>
      </c>
      <c r="J46" s="65">
        <v>3.004</v>
      </c>
      <c r="K46" s="65">
        <v>3134.7530000000002</v>
      </c>
      <c r="L46" s="66" t="s">
        <v>86</v>
      </c>
      <c r="M46" s="236">
        <v>2024</v>
      </c>
    </row>
    <row r="47" spans="2:13" x14ac:dyDescent="0.35">
      <c r="B47" s="234"/>
      <c r="C47" s="64" t="s">
        <v>71</v>
      </c>
      <c r="D47" s="65">
        <v>870.23599999999999</v>
      </c>
      <c r="E47" s="65">
        <v>763.43299999999999</v>
      </c>
      <c r="F47" s="65">
        <v>178.68799999999999</v>
      </c>
      <c r="G47" s="65">
        <v>789.298</v>
      </c>
      <c r="H47" s="65">
        <v>446.65600000000001</v>
      </c>
      <c r="I47" s="65">
        <v>60.012999999999998</v>
      </c>
      <c r="J47" s="65">
        <v>2.8610000000000002</v>
      </c>
      <c r="K47" s="65">
        <v>3111.1849999999999</v>
      </c>
      <c r="L47" s="66" t="s">
        <v>87</v>
      </c>
      <c r="M47" s="237"/>
    </row>
    <row r="48" spans="2:13" x14ac:dyDescent="0.35">
      <c r="B48" s="234"/>
      <c r="C48" s="64" t="s">
        <v>72</v>
      </c>
      <c r="D48" s="65">
        <v>741.46299999999997</v>
      </c>
      <c r="E48" s="65">
        <v>874.17100000000005</v>
      </c>
      <c r="F48" s="65">
        <v>360.46699999999998</v>
      </c>
      <c r="G48" s="65">
        <v>802.40700000000004</v>
      </c>
      <c r="H48" s="65">
        <v>318.37</v>
      </c>
      <c r="I48" s="65">
        <v>61.710999999999999</v>
      </c>
      <c r="J48" s="65">
        <v>2.3780000000000001</v>
      </c>
      <c r="K48" s="65">
        <v>3160.9670000000001</v>
      </c>
      <c r="L48" s="66" t="s">
        <v>88</v>
      </c>
      <c r="M48" s="237"/>
    </row>
    <row r="49" spans="2:13" x14ac:dyDescent="0.35">
      <c r="B49" s="234"/>
      <c r="C49" s="64" t="s">
        <v>73</v>
      </c>
      <c r="D49" s="65">
        <v>568.80100000000004</v>
      </c>
      <c r="E49" s="65">
        <v>344.245</v>
      </c>
      <c r="F49" s="65">
        <v>123.386</v>
      </c>
      <c r="G49" s="65">
        <v>712.56799999999998</v>
      </c>
      <c r="H49" s="65">
        <v>261.90100000000001</v>
      </c>
      <c r="I49" s="65">
        <v>43.59</v>
      </c>
      <c r="J49" s="65">
        <v>1.804</v>
      </c>
      <c r="K49" s="65">
        <v>2056.2950000000001</v>
      </c>
      <c r="L49" s="66" t="s">
        <v>89</v>
      </c>
      <c r="M49" s="237"/>
    </row>
    <row r="50" spans="2:13" x14ac:dyDescent="0.35">
      <c r="B50" s="234"/>
      <c r="C50" s="64" t="s">
        <v>74</v>
      </c>
      <c r="D50" s="65">
        <v>472.59</v>
      </c>
      <c r="E50" s="65">
        <v>450.14</v>
      </c>
      <c r="F50" s="65">
        <v>97.197999999999993</v>
      </c>
      <c r="G50" s="65">
        <v>282.17</v>
      </c>
      <c r="H50" s="65">
        <v>168.15299999999999</v>
      </c>
      <c r="I50" s="65">
        <v>32.454999999999998</v>
      </c>
      <c r="J50" s="65">
        <v>1.3320000000000001</v>
      </c>
      <c r="K50" s="65">
        <v>1504.038</v>
      </c>
      <c r="L50" s="66" t="s">
        <v>90</v>
      </c>
      <c r="M50" s="237"/>
    </row>
    <row r="51" spans="2:13" x14ac:dyDescent="0.35">
      <c r="B51" s="234"/>
      <c r="C51" s="64" t="s">
        <v>75</v>
      </c>
      <c r="D51" s="65">
        <v>574.56500000000005</v>
      </c>
      <c r="E51" s="65">
        <v>513.96600000000001</v>
      </c>
      <c r="F51" s="65">
        <v>348.91199999999998</v>
      </c>
      <c r="G51" s="65">
        <v>1041.127</v>
      </c>
      <c r="H51" s="65">
        <v>258.29199999999997</v>
      </c>
      <c r="I51" s="65">
        <v>35.715000000000003</v>
      </c>
      <c r="J51" s="65">
        <v>16.963000000000001</v>
      </c>
      <c r="K51" s="65">
        <v>2789.54</v>
      </c>
      <c r="L51" s="66" t="s">
        <v>91</v>
      </c>
      <c r="M51" s="237"/>
    </row>
    <row r="52" spans="2:13" x14ac:dyDescent="0.35">
      <c r="B52" s="234"/>
      <c r="C52" s="64" t="s">
        <v>76</v>
      </c>
      <c r="D52" s="65">
        <v>589.91200000000003</v>
      </c>
      <c r="E52" s="65">
        <v>441.68599999999998</v>
      </c>
      <c r="F52" s="65">
        <v>68.686999999999998</v>
      </c>
      <c r="G52" s="65">
        <v>490.13799999999998</v>
      </c>
      <c r="H52" s="65">
        <v>123.527</v>
      </c>
      <c r="I52" s="65">
        <v>40.853999999999999</v>
      </c>
      <c r="J52" s="65">
        <v>0.93400000000000005</v>
      </c>
      <c r="K52" s="65">
        <v>1755.7380000000001</v>
      </c>
      <c r="L52" s="66" t="s">
        <v>92</v>
      </c>
      <c r="M52" s="237"/>
    </row>
    <row r="53" spans="2:13" x14ac:dyDescent="0.35">
      <c r="B53" s="234"/>
      <c r="C53" s="64" t="s">
        <v>77</v>
      </c>
      <c r="D53" s="65">
        <v>772.11900000000003</v>
      </c>
      <c r="E53" s="65">
        <v>441.95400000000001</v>
      </c>
      <c r="F53" s="65">
        <v>86.605999999999995</v>
      </c>
      <c r="G53" s="65">
        <v>659.46100000000001</v>
      </c>
      <c r="H53" s="65">
        <v>141.79</v>
      </c>
      <c r="I53" s="65">
        <v>35.384999999999998</v>
      </c>
      <c r="J53" s="65">
        <v>1.097</v>
      </c>
      <c r="K53" s="65">
        <v>2138.4119999999998</v>
      </c>
      <c r="L53" s="66" t="s">
        <v>93</v>
      </c>
      <c r="M53" s="237"/>
    </row>
    <row r="54" spans="2:13" x14ac:dyDescent="0.35">
      <c r="B54" s="234"/>
      <c r="C54" s="64" t="s">
        <v>78</v>
      </c>
      <c r="D54" s="65">
        <v>474.55799999999999</v>
      </c>
      <c r="E54" s="65">
        <v>466.04</v>
      </c>
      <c r="F54" s="65">
        <v>140.773</v>
      </c>
      <c r="G54" s="65">
        <v>698.053</v>
      </c>
      <c r="H54" s="65">
        <v>158.46100000000001</v>
      </c>
      <c r="I54" s="65">
        <v>32.116999999999997</v>
      </c>
      <c r="J54" s="65">
        <v>1.504</v>
      </c>
      <c r="K54" s="65">
        <v>1971.5060000000001</v>
      </c>
      <c r="L54" s="66" t="s">
        <v>94</v>
      </c>
      <c r="M54" s="237"/>
    </row>
    <row r="55" spans="2:13" x14ac:dyDescent="0.35">
      <c r="B55" s="234"/>
      <c r="C55" s="64" t="s">
        <v>79</v>
      </c>
      <c r="D55" s="65">
        <v>506.89400000000001</v>
      </c>
      <c r="E55" s="65">
        <v>619.44399999999996</v>
      </c>
      <c r="F55" s="65">
        <v>146.91499999999999</v>
      </c>
      <c r="G55" s="65">
        <v>801.27700000000004</v>
      </c>
      <c r="H55" s="65">
        <v>306.03100000000001</v>
      </c>
      <c r="I55" s="65">
        <v>33.542000000000002</v>
      </c>
      <c r="J55" s="65">
        <v>2.4940000000000002</v>
      </c>
      <c r="K55" s="65">
        <v>2416.5970000000002</v>
      </c>
      <c r="L55" s="66" t="s">
        <v>95</v>
      </c>
      <c r="M55" s="237"/>
    </row>
    <row r="56" spans="2:13" x14ac:dyDescent="0.35">
      <c r="B56" s="234"/>
      <c r="C56" s="64" t="s">
        <v>80</v>
      </c>
      <c r="D56" s="65">
        <v>544.76400000000001</v>
      </c>
      <c r="E56" s="65">
        <v>607.053</v>
      </c>
      <c r="F56" s="65">
        <v>166.92599999999999</v>
      </c>
      <c r="G56" s="65">
        <v>795.75599999999997</v>
      </c>
      <c r="H56" s="65">
        <v>355.07</v>
      </c>
      <c r="I56" s="65">
        <v>69.430999999999997</v>
      </c>
      <c r="J56" s="65">
        <v>2.6469999999999998</v>
      </c>
      <c r="K56" s="65">
        <v>2541.6469999999999</v>
      </c>
      <c r="L56" s="66" t="s">
        <v>96</v>
      </c>
      <c r="M56" s="237"/>
    </row>
    <row r="57" spans="2:13" x14ac:dyDescent="0.35">
      <c r="B57" s="235"/>
      <c r="C57" s="64" t="s">
        <v>81</v>
      </c>
      <c r="D57" s="65">
        <v>787.32500000000005</v>
      </c>
      <c r="E57" s="65">
        <v>666.77200000000005</v>
      </c>
      <c r="F57" s="65">
        <v>236.37299999999999</v>
      </c>
      <c r="G57" s="65">
        <v>932.75400000000002</v>
      </c>
      <c r="H57" s="65">
        <v>440.90699999999998</v>
      </c>
      <c r="I57" s="65">
        <v>79.534000000000006</v>
      </c>
      <c r="J57" s="65">
        <v>3.1</v>
      </c>
      <c r="K57" s="65">
        <v>3146.7649999999999</v>
      </c>
      <c r="L57" s="66" t="s">
        <v>97</v>
      </c>
      <c r="M57" s="238"/>
    </row>
    <row r="58" spans="2:13" x14ac:dyDescent="0.35">
      <c r="B58" s="67"/>
      <c r="C58" s="68" t="s">
        <v>85</v>
      </c>
      <c r="D58" s="69">
        <v>7965.8289999999997</v>
      </c>
      <c r="E58" s="69">
        <v>6885.3670000000002</v>
      </c>
      <c r="F58" s="69">
        <v>2136.2629999999999</v>
      </c>
      <c r="G58" s="69">
        <v>8742.3549999999996</v>
      </c>
      <c r="H58" s="69">
        <v>3375.9380000000001</v>
      </c>
      <c r="I58" s="69">
        <v>581.57299999999998</v>
      </c>
      <c r="J58" s="69">
        <v>40.118000000000002</v>
      </c>
      <c r="K58" s="69">
        <v>29727.442999999999</v>
      </c>
      <c r="L58" s="70" t="s">
        <v>98</v>
      </c>
      <c r="M58" s="71"/>
    </row>
    <row r="59" spans="2:13" x14ac:dyDescent="0.35">
      <c r="B59" s="233">
        <v>2025</v>
      </c>
      <c r="C59" s="64" t="s">
        <v>70</v>
      </c>
      <c r="D59" s="65">
        <v>856.79200000000003</v>
      </c>
      <c r="E59" s="65">
        <v>940.31399999999996</v>
      </c>
      <c r="F59" s="65">
        <v>219.68899999999999</v>
      </c>
      <c r="G59" s="65">
        <v>965.70299999999997</v>
      </c>
      <c r="H59" s="65">
        <v>500.90199999999999</v>
      </c>
      <c r="I59" s="65">
        <v>66.39</v>
      </c>
      <c r="J59" s="65">
        <v>3.5139999999999998</v>
      </c>
      <c r="K59" s="65">
        <v>3553.3040000000001</v>
      </c>
      <c r="L59" s="66" t="s">
        <v>86</v>
      </c>
      <c r="M59" s="236">
        <v>2025</v>
      </c>
    </row>
    <row r="60" spans="2:13" x14ac:dyDescent="0.35">
      <c r="B60" s="234"/>
      <c r="C60" s="64" t="s">
        <v>71</v>
      </c>
      <c r="D60" s="65">
        <v>538.52099999999996</v>
      </c>
      <c r="E60" s="65">
        <v>924.76400000000001</v>
      </c>
      <c r="F60" s="65">
        <v>238.846</v>
      </c>
      <c r="G60" s="65">
        <v>923.77099999999996</v>
      </c>
      <c r="H60" s="65">
        <v>464.80399999999997</v>
      </c>
      <c r="I60" s="65">
        <v>52.235999999999997</v>
      </c>
      <c r="J60" s="65">
        <v>2.5609999999999999</v>
      </c>
      <c r="K60" s="65">
        <v>3145.5030000000002</v>
      </c>
      <c r="L60" s="66" t="s">
        <v>87</v>
      </c>
      <c r="M60" s="237"/>
    </row>
    <row r="61" spans="2:13" x14ac:dyDescent="0.35">
      <c r="B61" s="234"/>
      <c r="C61" s="64" t="s">
        <v>72</v>
      </c>
      <c r="D61" s="65">
        <v>604.92899999999997</v>
      </c>
      <c r="E61" s="65">
        <v>787.40499999999997</v>
      </c>
      <c r="F61" s="65">
        <v>356.66699999999997</v>
      </c>
      <c r="G61" s="65">
        <v>754.48199999999997</v>
      </c>
      <c r="H61" s="65">
        <v>330.19400000000002</v>
      </c>
      <c r="I61" s="65">
        <v>51.338000000000001</v>
      </c>
      <c r="J61" s="65">
        <v>2.36</v>
      </c>
      <c r="K61" s="65">
        <v>2887.375</v>
      </c>
      <c r="L61" s="66" t="s">
        <v>88</v>
      </c>
      <c r="M61" s="237"/>
    </row>
    <row r="62" spans="2:13" x14ac:dyDescent="0.35">
      <c r="B62" s="234"/>
      <c r="C62" s="64" t="s">
        <v>73</v>
      </c>
      <c r="D62" s="65">
        <v>439.25700000000001</v>
      </c>
      <c r="E62" s="65">
        <v>259.625</v>
      </c>
      <c r="F62" s="65">
        <v>128.101</v>
      </c>
      <c r="G62" s="65">
        <v>422.40899999999999</v>
      </c>
      <c r="H62" s="65">
        <v>324.40100000000001</v>
      </c>
      <c r="I62" s="65">
        <v>42.155000000000001</v>
      </c>
      <c r="J62" s="65">
        <v>2.1040000000000001</v>
      </c>
      <c r="K62" s="65">
        <v>1618.0519999999999</v>
      </c>
      <c r="L62" s="66" t="s">
        <v>89</v>
      </c>
      <c r="M62" s="237"/>
    </row>
    <row r="63" spans="2:13" x14ac:dyDescent="0.35">
      <c r="B63" s="234"/>
      <c r="C63" s="64" t="s">
        <v>74</v>
      </c>
      <c r="D63" s="65">
        <v>283.46100000000001</v>
      </c>
      <c r="E63" s="65">
        <v>163.113</v>
      </c>
      <c r="F63" s="65">
        <v>26.768999999999998</v>
      </c>
      <c r="G63" s="65">
        <v>167.845</v>
      </c>
      <c r="H63" s="65">
        <v>75.236000000000004</v>
      </c>
      <c r="I63" s="65">
        <v>21.818999999999999</v>
      </c>
      <c r="J63" s="65">
        <v>1.1439999999999999</v>
      </c>
      <c r="K63" s="65">
        <v>739.38699999999994</v>
      </c>
      <c r="L63" s="66" t="s">
        <v>90</v>
      </c>
      <c r="M63" s="237"/>
    </row>
    <row r="64" spans="2:13" x14ac:dyDescent="0.35">
      <c r="B64" s="234"/>
      <c r="C64" s="64" t="s">
        <v>75</v>
      </c>
      <c r="D64" s="65">
        <v>325.149</v>
      </c>
      <c r="E64" s="65">
        <v>411.262</v>
      </c>
      <c r="F64" s="65">
        <v>329.82900000000001</v>
      </c>
      <c r="G64" s="65">
        <v>985.23099999999999</v>
      </c>
      <c r="H64" s="65">
        <v>262.44600000000003</v>
      </c>
      <c r="I64" s="65">
        <v>33.226999999999997</v>
      </c>
      <c r="J64" s="65">
        <v>17.135000000000002</v>
      </c>
      <c r="K64" s="65">
        <v>2364.279</v>
      </c>
      <c r="L64" s="66" t="s">
        <v>91</v>
      </c>
      <c r="M64" s="237"/>
    </row>
    <row r="65" spans="2:13" x14ac:dyDescent="0.35">
      <c r="B65" s="234"/>
      <c r="C65" s="64" t="s">
        <v>76</v>
      </c>
      <c r="D65" s="65">
        <v>531.02099999999996</v>
      </c>
      <c r="E65" s="65">
        <v>507.19200000000001</v>
      </c>
      <c r="F65" s="65">
        <v>107.652</v>
      </c>
      <c r="G65" s="65">
        <v>816.23299999999995</v>
      </c>
      <c r="H65" s="65">
        <v>173.953</v>
      </c>
      <c r="I65" s="65">
        <v>40.837000000000003</v>
      </c>
      <c r="J65" s="65">
        <v>1.151</v>
      </c>
      <c r="K65" s="65">
        <v>2178.0390000000002</v>
      </c>
      <c r="L65" s="66" t="s">
        <v>92</v>
      </c>
      <c r="M65" s="237"/>
    </row>
    <row r="66" spans="2:13" x14ac:dyDescent="0.35">
      <c r="B66" s="234"/>
      <c r="C66" s="64" t="s">
        <v>77</v>
      </c>
      <c r="D66" s="65">
        <v>538.42600000000004</v>
      </c>
      <c r="E66" s="65">
        <v>572.31899999999996</v>
      </c>
      <c r="F66" s="65">
        <v>145.08600000000001</v>
      </c>
      <c r="G66" s="65">
        <v>780.37300000000005</v>
      </c>
      <c r="H66" s="65">
        <v>200.62799999999999</v>
      </c>
      <c r="I66" s="65">
        <v>39.085999999999999</v>
      </c>
      <c r="J66" s="65">
        <v>1.2370000000000001</v>
      </c>
      <c r="K66" s="65">
        <v>2277.1550000000002</v>
      </c>
      <c r="L66" s="66" t="s">
        <v>93</v>
      </c>
      <c r="M66" s="237"/>
    </row>
    <row r="67" spans="2:13" x14ac:dyDescent="0.35">
      <c r="B67" s="234"/>
      <c r="C67" s="64" t="s">
        <v>78</v>
      </c>
      <c r="D67" s="65">
        <v>340.22</v>
      </c>
      <c r="E67" s="65">
        <v>637.11599999999999</v>
      </c>
      <c r="F67" s="65">
        <v>169.05500000000001</v>
      </c>
      <c r="G67" s="65">
        <v>774.899</v>
      </c>
      <c r="H67" s="65">
        <v>205.876</v>
      </c>
      <c r="I67" s="65">
        <v>31.009</v>
      </c>
      <c r="J67" s="65">
        <v>1.7450000000000001</v>
      </c>
      <c r="K67" s="65">
        <v>2159.92</v>
      </c>
      <c r="L67" s="66" t="s">
        <v>94</v>
      </c>
      <c r="M67" s="237"/>
    </row>
    <row r="68" spans="2:13" x14ac:dyDescent="0.35">
      <c r="B68" s="234"/>
      <c r="C68" s="64" t="s">
        <v>79</v>
      </c>
      <c r="D68" s="65">
        <v>383.03500000000003</v>
      </c>
      <c r="E68" s="65">
        <v>611.56700000000001</v>
      </c>
      <c r="F68" s="65">
        <v>189.126</v>
      </c>
      <c r="G68" s="65">
        <v>893.33399999999995</v>
      </c>
      <c r="H68" s="65">
        <v>366.08499999999998</v>
      </c>
      <c r="I68" s="65">
        <v>43.898000000000003</v>
      </c>
      <c r="J68" s="65">
        <v>3.2120000000000002</v>
      </c>
      <c r="K68" s="65">
        <v>2490.2570000000001</v>
      </c>
      <c r="L68" s="66" t="s">
        <v>95</v>
      </c>
      <c r="M68" s="237"/>
    </row>
    <row r="69" spans="2:13" x14ac:dyDescent="0.35">
      <c r="B69" s="234"/>
      <c r="C69" s="64" t="s">
        <v>80</v>
      </c>
      <c r="D69" s="65">
        <v>337.75400000000002</v>
      </c>
      <c r="E69" s="65">
        <v>611.86099999999999</v>
      </c>
      <c r="F69" s="65">
        <v>216.53200000000001</v>
      </c>
      <c r="G69" s="65">
        <v>930.20799999999997</v>
      </c>
      <c r="H69" s="65">
        <v>462.18900000000002</v>
      </c>
      <c r="I69" s="65">
        <v>60.496000000000002</v>
      </c>
      <c r="J69" s="65">
        <v>3.0270000000000001</v>
      </c>
      <c r="K69" s="65">
        <v>2622.067</v>
      </c>
      <c r="L69" s="66" t="s">
        <v>96</v>
      </c>
      <c r="M69" s="237"/>
    </row>
    <row r="70" spans="2:13" x14ac:dyDescent="0.35">
      <c r="B70" s="235"/>
      <c r="C70" s="64" t="s">
        <v>81</v>
      </c>
      <c r="D70" s="65">
        <v>502.88900000000001</v>
      </c>
      <c r="E70" s="65">
        <v>704.51599999999996</v>
      </c>
      <c r="F70" s="65">
        <v>293.916</v>
      </c>
      <c r="G70" s="65">
        <v>1048.539</v>
      </c>
      <c r="H70" s="65">
        <v>578.45899999999995</v>
      </c>
      <c r="I70" s="65">
        <v>87.224999999999994</v>
      </c>
      <c r="J70" s="65">
        <v>3.9049999999999998</v>
      </c>
      <c r="K70" s="65">
        <v>3219.4490000000001</v>
      </c>
      <c r="L70" s="66" t="s">
        <v>97</v>
      </c>
      <c r="M70" s="238"/>
    </row>
    <row r="71" spans="2:13" x14ac:dyDescent="0.35">
      <c r="B71" s="67"/>
      <c r="C71" s="68" t="s">
        <v>85</v>
      </c>
      <c r="D71" s="69">
        <v>5681.4539999999997</v>
      </c>
      <c r="E71" s="69">
        <v>7131.0540000000001</v>
      </c>
      <c r="F71" s="69">
        <v>2421.268</v>
      </c>
      <c r="G71" s="69">
        <v>9463.027</v>
      </c>
      <c r="H71" s="69">
        <v>3945.1729999999998</v>
      </c>
      <c r="I71" s="69">
        <v>569.71600000000001</v>
      </c>
      <c r="J71" s="69">
        <v>43.094999999999999</v>
      </c>
      <c r="K71" s="69">
        <v>29254.787</v>
      </c>
      <c r="L71" s="70" t="s">
        <v>98</v>
      </c>
      <c r="M71" s="71"/>
    </row>
  </sheetData>
  <mergeCells count="12">
    <mergeCell ref="B59:B70"/>
    <mergeCell ref="M59:M70"/>
    <mergeCell ref="B46:B57"/>
    <mergeCell ref="M46:M57"/>
    <mergeCell ref="A2:F2"/>
    <mergeCell ref="A3:F3"/>
    <mergeCell ref="B33:B44"/>
    <mergeCell ref="M33:M44"/>
    <mergeCell ref="B7:B18"/>
    <mergeCell ref="M7:M18"/>
    <mergeCell ref="B20:B31"/>
    <mergeCell ref="M20:M31"/>
  </mergeCells>
  <pageMargins left="0.7" right="0.7" top="0.75" bottom="0.75" header="0.3" footer="0.3"/>
  <pageSetup orientation="portrait" r:id="rId1"/>
  <headerFooter>
    <oddFooter>&amp;C&amp;1#&amp;"Calibri"&amp;11&amp;Kffa500CONFIDENTIAL▮▮مقيّد</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N71"/>
  <sheetViews>
    <sheetView showGridLines="0" zoomScale="80" zoomScaleNormal="80" workbookViewId="0">
      <selection activeCell="O23" sqref="O23"/>
    </sheetView>
  </sheetViews>
  <sheetFormatPr defaultColWidth="8.81640625" defaultRowHeight="14.5" x14ac:dyDescent="0.35"/>
  <cols>
    <col min="3" max="3" width="6.453125" customWidth="1"/>
    <col min="4" max="7" width="22.54296875" customWidth="1"/>
    <col min="8" max="8" width="6.453125" customWidth="1"/>
    <col min="10" max="10" width="21.453125" customWidth="1"/>
    <col min="19" max="19" width="10.1796875" bestFit="1" customWidth="1"/>
    <col min="23" max="23" width="9.1796875" bestFit="1" customWidth="1"/>
  </cols>
  <sheetData>
    <row r="1" spans="1:13" x14ac:dyDescent="0.35">
      <c r="A1" s="9" t="s">
        <v>524</v>
      </c>
    </row>
    <row r="2" spans="1:13" x14ac:dyDescent="0.35">
      <c r="A2" s="239" t="s">
        <v>527</v>
      </c>
      <c r="B2" s="239"/>
      <c r="C2" s="239"/>
      <c r="D2" s="239"/>
      <c r="E2" s="239"/>
      <c r="F2" s="239"/>
    </row>
    <row r="3" spans="1:13" x14ac:dyDescent="0.35">
      <c r="A3" s="239" t="s">
        <v>528</v>
      </c>
      <c r="B3" s="239"/>
      <c r="C3" s="239"/>
      <c r="D3" s="239"/>
      <c r="E3" s="239"/>
      <c r="F3" s="239"/>
    </row>
    <row r="4" spans="1:13" ht="18" customHeight="1" x14ac:dyDescent="0.35">
      <c r="A4" s="10" t="s">
        <v>10</v>
      </c>
      <c r="B4" s="30" t="s">
        <v>350</v>
      </c>
      <c r="C4" s="13"/>
      <c r="D4" s="13"/>
      <c r="E4" s="13"/>
      <c r="F4" s="13"/>
      <c r="G4" s="13"/>
      <c r="H4" s="13"/>
      <c r="I4" s="74" t="s">
        <v>330</v>
      </c>
    </row>
    <row r="5" spans="1:13" ht="18" customHeight="1" x14ac:dyDescent="0.35">
      <c r="B5" s="59"/>
      <c r="C5" s="60"/>
      <c r="D5" s="60"/>
      <c r="G5" s="60"/>
      <c r="H5" s="60"/>
      <c r="I5" s="59"/>
    </row>
    <row r="6" spans="1:13" s="141" customFormat="1" ht="29" x14ac:dyDescent="0.35">
      <c r="C6" s="188" t="s">
        <v>444</v>
      </c>
      <c r="D6" s="188" t="s">
        <v>138</v>
      </c>
      <c r="E6" s="188" t="s">
        <v>358</v>
      </c>
      <c r="F6" s="188" t="s">
        <v>115</v>
      </c>
      <c r="G6" s="188" t="s">
        <v>139</v>
      </c>
      <c r="H6" s="188" t="s">
        <v>445</v>
      </c>
    </row>
    <row r="7" spans="1:13" ht="18" customHeight="1" x14ac:dyDescent="0.35">
      <c r="B7" s="243">
        <v>2021</v>
      </c>
      <c r="C7" s="185">
        <v>1</v>
      </c>
      <c r="D7" s="186" t="s">
        <v>224</v>
      </c>
      <c r="E7" s="149">
        <v>623.46199999999999</v>
      </c>
      <c r="F7" s="187">
        <v>0.17929918647561727</v>
      </c>
      <c r="G7" s="186" t="s">
        <v>235</v>
      </c>
      <c r="H7" s="185">
        <v>1</v>
      </c>
      <c r="I7" s="243">
        <v>2021</v>
      </c>
      <c r="K7" t="s">
        <v>359</v>
      </c>
      <c r="M7" s="78"/>
    </row>
    <row r="8" spans="1:13" ht="18" customHeight="1" x14ac:dyDescent="0.35">
      <c r="B8" s="244"/>
      <c r="C8" s="75">
        <v>2</v>
      </c>
      <c r="D8" s="76" t="s">
        <v>228</v>
      </c>
      <c r="E8" s="65">
        <v>316.488</v>
      </c>
      <c r="F8" s="77">
        <v>9.1017641699566554E-2</v>
      </c>
      <c r="G8" s="76" t="s">
        <v>239</v>
      </c>
      <c r="H8" s="75">
        <v>2</v>
      </c>
      <c r="I8" s="244"/>
      <c r="K8" t="s">
        <v>360</v>
      </c>
      <c r="M8" s="78"/>
    </row>
    <row r="9" spans="1:13" ht="18" customHeight="1" x14ac:dyDescent="0.35">
      <c r="B9" s="244"/>
      <c r="C9" s="75">
        <v>3</v>
      </c>
      <c r="D9" s="76" t="s">
        <v>225</v>
      </c>
      <c r="E9" s="65">
        <v>308.25299999999999</v>
      </c>
      <c r="F9" s="77">
        <v>8.8649367770078133E-2</v>
      </c>
      <c r="G9" s="76" t="s">
        <v>236</v>
      </c>
      <c r="H9" s="75">
        <v>3</v>
      </c>
      <c r="I9" s="244"/>
      <c r="M9" s="78"/>
    </row>
    <row r="10" spans="1:13" ht="18" customHeight="1" x14ac:dyDescent="0.35">
      <c r="B10" s="244"/>
      <c r="C10" s="75">
        <v>4</v>
      </c>
      <c r="D10" s="76" t="s">
        <v>227</v>
      </c>
      <c r="E10" s="65">
        <v>257.64</v>
      </c>
      <c r="F10" s="77">
        <v>7.4093757764832555E-2</v>
      </c>
      <c r="G10" s="76" t="s">
        <v>238</v>
      </c>
      <c r="H10" s="75">
        <v>4</v>
      </c>
      <c r="I10" s="244"/>
      <c r="M10" s="78"/>
    </row>
    <row r="11" spans="1:13" ht="18" customHeight="1" x14ac:dyDescent="0.35">
      <c r="B11" s="244"/>
      <c r="C11" s="75">
        <v>5</v>
      </c>
      <c r="D11" s="76" t="s">
        <v>230</v>
      </c>
      <c r="E11" s="65">
        <v>254.01300000000001</v>
      </c>
      <c r="F11" s="77">
        <v>7.305068192485023E-2</v>
      </c>
      <c r="G11" s="76" t="s">
        <v>240</v>
      </c>
      <c r="H11" s="75">
        <v>5</v>
      </c>
      <c r="I11" s="244"/>
      <c r="M11" s="78"/>
    </row>
    <row r="12" spans="1:13" ht="18" customHeight="1" x14ac:dyDescent="0.35">
      <c r="B12" s="244"/>
      <c r="C12" s="75">
        <v>6</v>
      </c>
      <c r="D12" s="76" t="s">
        <v>226</v>
      </c>
      <c r="E12" s="65">
        <v>239.947</v>
      </c>
      <c r="F12" s="77">
        <v>6.900549174972162E-2</v>
      </c>
      <c r="G12" s="76" t="s">
        <v>237</v>
      </c>
      <c r="H12" s="75">
        <v>6</v>
      </c>
      <c r="I12" s="244"/>
      <c r="M12" s="78"/>
    </row>
    <row r="13" spans="1:13" ht="18" customHeight="1" x14ac:dyDescent="0.35">
      <c r="B13" s="244"/>
      <c r="C13" s="75">
        <v>7</v>
      </c>
      <c r="D13" s="76" t="s">
        <v>231</v>
      </c>
      <c r="E13" s="65">
        <v>196.898</v>
      </c>
      <c r="F13" s="77">
        <v>5.6625185205635774E-2</v>
      </c>
      <c r="G13" s="76" t="s">
        <v>241</v>
      </c>
      <c r="H13" s="75">
        <v>7</v>
      </c>
      <c r="I13" s="244"/>
      <c r="M13" s="78"/>
    </row>
    <row r="14" spans="1:13" ht="18" customHeight="1" x14ac:dyDescent="0.35">
      <c r="B14" s="244"/>
      <c r="C14" s="75">
        <v>8</v>
      </c>
      <c r="D14" s="76" t="s">
        <v>244</v>
      </c>
      <c r="E14" s="65">
        <v>160.37200000000001</v>
      </c>
      <c r="F14" s="77">
        <v>4.6120804689728796E-2</v>
      </c>
      <c r="G14" s="76" t="s">
        <v>246</v>
      </c>
      <c r="H14" s="75">
        <v>8</v>
      </c>
      <c r="I14" s="244"/>
      <c r="M14" s="78"/>
    </row>
    <row r="15" spans="1:13" ht="18" customHeight="1" x14ac:dyDescent="0.35">
      <c r="B15" s="244"/>
      <c r="C15" s="75">
        <v>9</v>
      </c>
      <c r="D15" s="76" t="s">
        <v>233</v>
      </c>
      <c r="E15" s="65">
        <v>153.84399999999999</v>
      </c>
      <c r="F15" s="77">
        <v>4.4243440729595171E-2</v>
      </c>
      <c r="G15" s="76" t="s">
        <v>243</v>
      </c>
      <c r="H15" s="75">
        <v>9</v>
      </c>
      <c r="I15" s="244"/>
      <c r="M15" s="78"/>
    </row>
    <row r="16" spans="1:13" ht="18" customHeight="1" x14ac:dyDescent="0.35">
      <c r="B16" s="244"/>
      <c r="C16" s="75">
        <v>10</v>
      </c>
      <c r="D16" s="76" t="s">
        <v>232</v>
      </c>
      <c r="E16" s="65">
        <v>109.923</v>
      </c>
      <c r="F16" s="77">
        <v>3.1612358852599318E-2</v>
      </c>
      <c r="G16" s="76" t="s">
        <v>242</v>
      </c>
      <c r="H16" s="75">
        <v>10</v>
      </c>
      <c r="I16" s="244"/>
      <c r="M16" s="78"/>
    </row>
    <row r="17" spans="2:14" ht="18" customHeight="1" x14ac:dyDescent="0.35">
      <c r="B17" s="244"/>
      <c r="C17" s="246" t="s">
        <v>108</v>
      </c>
      <c r="D17" s="247"/>
      <c r="E17" s="79">
        <v>2621.3789999999999</v>
      </c>
      <c r="F17" s="80">
        <v>0.75369258848641496</v>
      </c>
      <c r="G17" s="246" t="s">
        <v>140</v>
      </c>
      <c r="H17" s="247"/>
      <c r="I17" s="244"/>
      <c r="M17" s="53"/>
    </row>
    <row r="18" spans="2:14" ht="18" customHeight="1" x14ac:dyDescent="0.35">
      <c r="B18" s="245"/>
      <c r="C18" s="248" t="s">
        <v>109</v>
      </c>
      <c r="D18" s="249"/>
      <c r="E18" s="65">
        <v>855.83699999999999</v>
      </c>
      <c r="F18" s="77">
        <v>0.24630741151358504</v>
      </c>
      <c r="G18" s="248" t="s">
        <v>141</v>
      </c>
      <c r="H18" s="249"/>
      <c r="I18" s="245"/>
      <c r="M18" s="53"/>
      <c r="N18" s="43"/>
    </row>
    <row r="19" spans="2:14" ht="18" customHeight="1" x14ac:dyDescent="0.35">
      <c r="B19" s="240" t="s">
        <v>82</v>
      </c>
      <c r="C19" s="241"/>
      <c r="D19" s="242"/>
      <c r="E19" s="69">
        <v>3477.2159999999999</v>
      </c>
      <c r="F19" s="81">
        <v>1</v>
      </c>
      <c r="G19" s="240" t="s">
        <v>98</v>
      </c>
      <c r="H19" s="241"/>
      <c r="I19" s="242"/>
      <c r="M19" s="53"/>
    </row>
    <row r="20" spans="2:14" x14ac:dyDescent="0.35">
      <c r="B20" s="243">
        <v>2022</v>
      </c>
      <c r="C20" s="75">
        <v>1</v>
      </c>
      <c r="D20" s="76" t="s">
        <v>226</v>
      </c>
      <c r="E20" s="65">
        <v>2177.6619999999998</v>
      </c>
      <c r="F20" s="77">
        <v>0.13088593539758506</v>
      </c>
      <c r="G20" s="76" t="s">
        <v>237</v>
      </c>
      <c r="H20" s="75">
        <v>1</v>
      </c>
      <c r="I20" s="243">
        <v>2022</v>
      </c>
      <c r="M20" s="53"/>
    </row>
    <row r="21" spans="2:14" x14ac:dyDescent="0.35">
      <c r="B21" s="244"/>
      <c r="C21" s="75">
        <v>2</v>
      </c>
      <c r="D21" s="76" t="s">
        <v>224</v>
      </c>
      <c r="E21" s="65">
        <v>1948.4290000000001</v>
      </c>
      <c r="F21" s="77">
        <v>0.11710814268733222</v>
      </c>
      <c r="G21" s="76" t="s">
        <v>235</v>
      </c>
      <c r="H21" s="75">
        <v>2</v>
      </c>
      <c r="I21" s="244"/>
    </row>
    <row r="22" spans="2:14" x14ac:dyDescent="0.35">
      <c r="B22" s="244"/>
      <c r="C22" s="75">
        <v>3</v>
      </c>
      <c r="D22" s="76" t="s">
        <v>225</v>
      </c>
      <c r="E22" s="65">
        <v>1462.922</v>
      </c>
      <c r="F22" s="77">
        <v>8.7927288249372917E-2</v>
      </c>
      <c r="G22" s="76" t="s">
        <v>236</v>
      </c>
      <c r="H22" s="75">
        <v>3</v>
      </c>
      <c r="I22" s="244"/>
    </row>
    <row r="23" spans="2:14" x14ac:dyDescent="0.35">
      <c r="B23" s="244"/>
      <c r="C23" s="75">
        <v>4</v>
      </c>
      <c r="D23" s="76" t="s">
        <v>227</v>
      </c>
      <c r="E23" s="65">
        <v>1407.164</v>
      </c>
      <c r="F23" s="77">
        <v>8.4576016111686469E-2</v>
      </c>
      <c r="G23" s="76" t="s">
        <v>238</v>
      </c>
      <c r="H23" s="75">
        <v>4</v>
      </c>
      <c r="I23" s="244"/>
    </row>
    <row r="24" spans="2:14" x14ac:dyDescent="0.35">
      <c r="B24" s="244"/>
      <c r="C24" s="75">
        <v>5</v>
      </c>
      <c r="D24" s="76" t="s">
        <v>437</v>
      </c>
      <c r="E24" s="65">
        <v>1228.1859999999999</v>
      </c>
      <c r="F24" s="77">
        <v>7.3818743887811053E-2</v>
      </c>
      <c r="G24" s="76" t="s">
        <v>439</v>
      </c>
      <c r="H24" s="75">
        <v>5</v>
      </c>
      <c r="I24" s="244"/>
    </row>
    <row r="25" spans="2:14" x14ac:dyDescent="0.35">
      <c r="B25" s="244"/>
      <c r="C25" s="75">
        <v>6</v>
      </c>
      <c r="D25" s="76" t="s">
        <v>228</v>
      </c>
      <c r="E25" s="65">
        <v>1108.6780000000001</v>
      </c>
      <c r="F25" s="77">
        <v>6.6635849403958836E-2</v>
      </c>
      <c r="G25" s="76" t="s">
        <v>239</v>
      </c>
      <c r="H25" s="75">
        <v>6</v>
      </c>
      <c r="I25" s="244"/>
    </row>
    <row r="26" spans="2:14" x14ac:dyDescent="0.35">
      <c r="B26" s="244"/>
      <c r="C26" s="75">
        <v>7</v>
      </c>
      <c r="D26" s="76" t="s">
        <v>230</v>
      </c>
      <c r="E26" s="65">
        <v>764.48500000000001</v>
      </c>
      <c r="F26" s="77">
        <v>4.5948514655820241E-2</v>
      </c>
      <c r="G26" s="76" t="s">
        <v>240</v>
      </c>
      <c r="H26" s="75">
        <v>7</v>
      </c>
      <c r="I26" s="244"/>
    </row>
    <row r="27" spans="2:14" x14ac:dyDescent="0.35">
      <c r="B27" s="244"/>
      <c r="C27" s="75">
        <v>8</v>
      </c>
      <c r="D27" s="76" t="s">
        <v>231</v>
      </c>
      <c r="E27" s="65">
        <v>597.16499999999996</v>
      </c>
      <c r="F27" s="77">
        <v>3.5891933464283661E-2</v>
      </c>
      <c r="G27" s="76" t="s">
        <v>241</v>
      </c>
      <c r="H27" s="75">
        <v>8</v>
      </c>
      <c r="I27" s="244"/>
    </row>
    <row r="28" spans="2:14" x14ac:dyDescent="0.35">
      <c r="B28" s="244"/>
      <c r="C28" s="75">
        <v>9</v>
      </c>
      <c r="D28" s="76" t="s">
        <v>229</v>
      </c>
      <c r="E28" s="65">
        <v>595.81299999999999</v>
      </c>
      <c r="F28" s="77">
        <v>3.5810673018604973E-2</v>
      </c>
      <c r="G28" s="76" t="s">
        <v>245</v>
      </c>
      <c r="H28" s="75">
        <v>9</v>
      </c>
      <c r="I28" s="244"/>
    </row>
    <row r="29" spans="2:14" x14ac:dyDescent="0.35">
      <c r="B29" s="244"/>
      <c r="C29" s="75">
        <v>10</v>
      </c>
      <c r="D29" s="76" t="s">
        <v>438</v>
      </c>
      <c r="E29" s="65">
        <v>491.51</v>
      </c>
      <c r="F29" s="77">
        <v>2.9541658029238253E-2</v>
      </c>
      <c r="G29" s="76" t="s">
        <v>440</v>
      </c>
      <c r="H29" s="75">
        <v>10</v>
      </c>
      <c r="I29" s="244"/>
    </row>
    <row r="30" spans="2:14" x14ac:dyDescent="0.35">
      <c r="B30" s="244"/>
      <c r="C30" s="246" t="s">
        <v>108</v>
      </c>
      <c r="D30" s="247"/>
      <c r="E30" s="79">
        <v>11782.014056918002</v>
      </c>
      <c r="F30" s="80">
        <v>0.70814477605360626</v>
      </c>
      <c r="G30" s="246" t="s">
        <v>140</v>
      </c>
      <c r="H30" s="247"/>
      <c r="I30" s="244"/>
    </row>
    <row r="31" spans="2:14" x14ac:dyDescent="0.35">
      <c r="B31" s="245"/>
      <c r="C31" s="248" t="s">
        <v>109</v>
      </c>
      <c r="D31" s="249"/>
      <c r="E31" s="65">
        <v>4855.8465265880313</v>
      </c>
      <c r="F31" s="77">
        <v>0.29185522394639374</v>
      </c>
      <c r="G31" s="248" t="s">
        <v>141</v>
      </c>
      <c r="H31" s="249"/>
      <c r="I31" s="245"/>
    </row>
    <row r="32" spans="2:14" x14ac:dyDescent="0.35">
      <c r="B32" s="240" t="s">
        <v>82</v>
      </c>
      <c r="C32" s="241"/>
      <c r="D32" s="242"/>
      <c r="E32" s="69">
        <v>16637.860583506033</v>
      </c>
      <c r="F32" s="81">
        <v>1</v>
      </c>
      <c r="G32" s="240" t="s">
        <v>98</v>
      </c>
      <c r="H32" s="241"/>
      <c r="I32" s="242"/>
    </row>
    <row r="33" spans="2:9" x14ac:dyDescent="0.35">
      <c r="B33" s="243">
        <v>2023</v>
      </c>
      <c r="C33" s="75">
        <v>1</v>
      </c>
      <c r="D33" s="76" t="s">
        <v>226</v>
      </c>
      <c r="E33" s="65">
        <v>3392.6019999999999</v>
      </c>
      <c r="F33" s="77">
        <v>0.12371132592091698</v>
      </c>
      <c r="G33" s="76" t="s">
        <v>237</v>
      </c>
      <c r="H33" s="75">
        <v>1</v>
      </c>
      <c r="I33" s="243">
        <v>2023</v>
      </c>
    </row>
    <row r="34" spans="2:9" x14ac:dyDescent="0.35">
      <c r="B34" s="244"/>
      <c r="C34" s="75">
        <v>2</v>
      </c>
      <c r="D34" s="76" t="s">
        <v>225</v>
      </c>
      <c r="E34" s="65">
        <v>2589.0300000000002</v>
      </c>
      <c r="F34" s="77">
        <v>9.4409050678220349E-2</v>
      </c>
      <c r="G34" s="76" t="s">
        <v>236</v>
      </c>
      <c r="H34" s="75">
        <v>2</v>
      </c>
      <c r="I34" s="244"/>
    </row>
    <row r="35" spans="2:9" x14ac:dyDescent="0.35">
      <c r="B35" s="244"/>
      <c r="C35" s="75">
        <v>3</v>
      </c>
      <c r="D35" s="76" t="s">
        <v>227</v>
      </c>
      <c r="E35" s="65">
        <v>2470.1729999999998</v>
      </c>
      <c r="F35" s="77">
        <v>9.007492688032645E-2</v>
      </c>
      <c r="G35" s="76" t="s">
        <v>238</v>
      </c>
      <c r="H35" s="75">
        <v>3</v>
      </c>
      <c r="I35" s="244"/>
    </row>
    <row r="36" spans="2:9" x14ac:dyDescent="0.35">
      <c r="B36" s="244"/>
      <c r="C36" s="75">
        <v>4</v>
      </c>
      <c r="D36" s="76" t="s">
        <v>224</v>
      </c>
      <c r="E36" s="65">
        <v>2318.605</v>
      </c>
      <c r="F36" s="77">
        <v>8.4547995561185113E-2</v>
      </c>
      <c r="G36" s="76" t="s">
        <v>235</v>
      </c>
      <c r="H36" s="75">
        <v>4</v>
      </c>
      <c r="I36" s="244"/>
    </row>
    <row r="37" spans="2:9" x14ac:dyDescent="0.35">
      <c r="B37" s="244"/>
      <c r="C37" s="75">
        <v>5</v>
      </c>
      <c r="D37" s="76" t="s">
        <v>437</v>
      </c>
      <c r="E37" s="65">
        <v>1776.5540000000001</v>
      </c>
      <c r="F37" s="77">
        <v>6.4782090828841329E-2</v>
      </c>
      <c r="G37" s="76" t="s">
        <v>439</v>
      </c>
      <c r="H37" s="75">
        <v>5</v>
      </c>
      <c r="I37" s="244"/>
    </row>
    <row r="38" spans="2:9" x14ac:dyDescent="0.35">
      <c r="B38" s="244"/>
      <c r="C38" s="75">
        <v>6</v>
      </c>
      <c r="D38" s="76" t="s">
        <v>228</v>
      </c>
      <c r="E38" s="65">
        <v>1692.867</v>
      </c>
      <c r="F38" s="77">
        <v>6.1730442055320654E-2</v>
      </c>
      <c r="G38" s="76" t="s">
        <v>239</v>
      </c>
      <c r="H38" s="75">
        <v>6</v>
      </c>
      <c r="I38" s="244"/>
    </row>
    <row r="39" spans="2:9" x14ac:dyDescent="0.35">
      <c r="B39" s="244"/>
      <c r="C39" s="75">
        <v>7</v>
      </c>
      <c r="D39" s="76" t="s">
        <v>229</v>
      </c>
      <c r="E39" s="65">
        <v>1374.412</v>
      </c>
      <c r="F39" s="77">
        <v>5.0117971657630149E-2</v>
      </c>
      <c r="G39" s="76" t="s">
        <v>245</v>
      </c>
      <c r="H39" s="75">
        <v>7</v>
      </c>
      <c r="I39" s="244"/>
    </row>
    <row r="40" spans="2:9" x14ac:dyDescent="0.35">
      <c r="B40" s="244"/>
      <c r="C40" s="75">
        <v>8</v>
      </c>
      <c r="D40" s="76" t="s">
        <v>231</v>
      </c>
      <c r="E40" s="65">
        <v>1125.4110000000001</v>
      </c>
      <c r="F40" s="77">
        <v>4.1038143294139746E-2</v>
      </c>
      <c r="G40" s="76" t="s">
        <v>241</v>
      </c>
      <c r="H40" s="75">
        <v>8</v>
      </c>
      <c r="I40" s="244"/>
    </row>
    <row r="41" spans="2:9" x14ac:dyDescent="0.35">
      <c r="B41" s="244"/>
      <c r="C41" s="75">
        <v>9</v>
      </c>
      <c r="D41" s="76" t="s">
        <v>230</v>
      </c>
      <c r="E41" s="65">
        <v>1090.7919999999999</v>
      </c>
      <c r="F41" s="77">
        <v>3.9775760500031801E-2</v>
      </c>
      <c r="G41" s="76" t="s">
        <v>240</v>
      </c>
      <c r="H41" s="75">
        <v>9</v>
      </c>
      <c r="I41" s="244"/>
    </row>
    <row r="42" spans="2:9" x14ac:dyDescent="0.35">
      <c r="B42" s="244"/>
      <c r="C42" s="75">
        <v>10</v>
      </c>
      <c r="D42" s="76" t="s">
        <v>234</v>
      </c>
      <c r="E42" s="65">
        <v>823.36099999999999</v>
      </c>
      <c r="F42" s="77">
        <v>3.0023881675944341E-2</v>
      </c>
      <c r="G42" s="76" t="s">
        <v>441</v>
      </c>
      <c r="H42" s="75">
        <v>10</v>
      </c>
      <c r="I42" s="244"/>
    </row>
    <row r="43" spans="2:9" x14ac:dyDescent="0.35">
      <c r="B43" s="244"/>
      <c r="C43" s="246" t="s">
        <v>108</v>
      </c>
      <c r="D43" s="247"/>
      <c r="E43" s="79">
        <f>SUM(E33:E42)</f>
        <v>18653.807000000004</v>
      </c>
      <c r="F43" s="80">
        <f>SUM(F33:F42)</f>
        <v>0.68021158905255696</v>
      </c>
      <c r="G43" s="246" t="s">
        <v>140</v>
      </c>
      <c r="H43" s="247"/>
      <c r="I43" s="244"/>
    </row>
    <row r="44" spans="2:9" x14ac:dyDescent="0.35">
      <c r="B44" s="245"/>
      <c r="C44" s="248" t="s">
        <v>109</v>
      </c>
      <c r="D44" s="249"/>
      <c r="E44" s="65">
        <f>E45-E43</f>
        <v>8769.7289999999957</v>
      </c>
      <c r="F44" s="77">
        <f>F45-F43</f>
        <v>0.31978841094744304</v>
      </c>
      <c r="G44" s="248" t="s">
        <v>141</v>
      </c>
      <c r="H44" s="249"/>
      <c r="I44" s="245"/>
    </row>
    <row r="45" spans="2:9" x14ac:dyDescent="0.35">
      <c r="B45" s="240" t="s">
        <v>82</v>
      </c>
      <c r="C45" s="241"/>
      <c r="D45" s="242"/>
      <c r="E45" s="69">
        <v>27423.536</v>
      </c>
      <c r="F45" s="81">
        <v>1</v>
      </c>
      <c r="G45" s="240" t="s">
        <v>98</v>
      </c>
      <c r="H45" s="241"/>
      <c r="I45" s="242"/>
    </row>
    <row r="46" spans="2:9" x14ac:dyDescent="0.35">
      <c r="B46" s="243">
        <v>2024</v>
      </c>
      <c r="C46" s="75">
        <v>1</v>
      </c>
      <c r="D46" s="76" t="s">
        <v>225</v>
      </c>
      <c r="E46" s="65">
        <v>3188.308</v>
      </c>
      <c r="F46" s="77">
        <v>0.10725133675304667</v>
      </c>
      <c r="G46" s="76" t="s">
        <v>236</v>
      </c>
      <c r="H46" s="75">
        <v>1</v>
      </c>
      <c r="I46" s="243">
        <v>2024</v>
      </c>
    </row>
    <row r="47" spans="2:9" x14ac:dyDescent="0.35">
      <c r="B47" s="244"/>
      <c r="C47" s="75">
        <v>2</v>
      </c>
      <c r="D47" s="76" t="s">
        <v>227</v>
      </c>
      <c r="E47" s="65">
        <v>2788.799</v>
      </c>
      <c r="F47" s="77">
        <v>9.3812273056919152E-2</v>
      </c>
      <c r="G47" s="76" t="s">
        <v>238</v>
      </c>
      <c r="H47" s="75">
        <v>2</v>
      </c>
      <c r="I47" s="244"/>
    </row>
    <row r="48" spans="2:9" x14ac:dyDescent="0.35">
      <c r="B48" s="244"/>
      <c r="C48" s="75">
        <v>3</v>
      </c>
      <c r="D48" s="76" t="s">
        <v>226</v>
      </c>
      <c r="E48" s="65">
        <v>2611.1239999999998</v>
      </c>
      <c r="F48" s="77">
        <v>8.7835472428624287E-2</v>
      </c>
      <c r="G48" s="76" t="s">
        <v>237</v>
      </c>
      <c r="H48" s="75">
        <v>3</v>
      </c>
      <c r="I48" s="244"/>
    </row>
    <row r="49" spans="2:9" x14ac:dyDescent="0.35">
      <c r="B49" s="244"/>
      <c r="C49" s="75">
        <v>4</v>
      </c>
      <c r="D49" s="76" t="s">
        <v>224</v>
      </c>
      <c r="E49" s="65">
        <v>2108.0909999999999</v>
      </c>
      <c r="F49" s="77">
        <v>7.0913969963713325E-2</v>
      </c>
      <c r="G49" s="76" t="s">
        <v>235</v>
      </c>
      <c r="H49" s="75">
        <v>4</v>
      </c>
      <c r="I49" s="244"/>
    </row>
    <row r="50" spans="2:9" x14ac:dyDescent="0.35">
      <c r="B50" s="244"/>
      <c r="C50" s="75">
        <v>5</v>
      </c>
      <c r="D50" s="76" t="s">
        <v>228</v>
      </c>
      <c r="E50" s="65">
        <v>1934.8009999999999</v>
      </c>
      <c r="F50" s="77">
        <v>6.5084676135784697E-2</v>
      </c>
      <c r="G50" s="76" t="s">
        <v>239</v>
      </c>
      <c r="H50" s="75">
        <v>5</v>
      </c>
      <c r="I50" s="244"/>
    </row>
    <row r="51" spans="2:9" x14ac:dyDescent="0.35">
      <c r="B51" s="244"/>
      <c r="C51" s="75">
        <v>6</v>
      </c>
      <c r="D51" s="76" t="s">
        <v>437</v>
      </c>
      <c r="E51" s="65">
        <v>1855.624</v>
      </c>
      <c r="F51" s="77">
        <v>6.2421244908282221E-2</v>
      </c>
      <c r="G51" s="76" t="s">
        <v>439</v>
      </c>
      <c r="H51" s="75">
        <v>6</v>
      </c>
      <c r="I51" s="244"/>
    </row>
    <row r="52" spans="2:9" x14ac:dyDescent="0.35">
      <c r="B52" s="244"/>
      <c r="C52" s="75">
        <v>7</v>
      </c>
      <c r="D52" s="76" t="s">
        <v>229</v>
      </c>
      <c r="E52" s="65">
        <v>1467.6410000000001</v>
      </c>
      <c r="F52" s="77">
        <v>4.9369903761988541E-2</v>
      </c>
      <c r="G52" s="76" t="s">
        <v>245</v>
      </c>
      <c r="H52" s="75">
        <v>7</v>
      </c>
      <c r="I52" s="244"/>
    </row>
    <row r="53" spans="2:9" x14ac:dyDescent="0.35">
      <c r="B53" s="244"/>
      <c r="C53" s="75">
        <v>8</v>
      </c>
      <c r="D53" s="76" t="s">
        <v>231</v>
      </c>
      <c r="E53" s="65">
        <v>1237.2239999999999</v>
      </c>
      <c r="F53" s="77">
        <v>4.1618917577270272E-2</v>
      </c>
      <c r="G53" s="76" t="s">
        <v>241</v>
      </c>
      <c r="H53" s="75">
        <v>8</v>
      </c>
      <c r="I53" s="244"/>
    </row>
    <row r="54" spans="2:9" x14ac:dyDescent="0.35">
      <c r="B54" s="244"/>
      <c r="C54" s="75">
        <v>9</v>
      </c>
      <c r="D54" s="76" t="s">
        <v>230</v>
      </c>
      <c r="E54" s="65">
        <v>1221.021</v>
      </c>
      <c r="F54" s="77">
        <v>4.1073865653362789E-2</v>
      </c>
      <c r="G54" s="76" t="s">
        <v>240</v>
      </c>
      <c r="H54" s="75">
        <v>9</v>
      </c>
      <c r="I54" s="244"/>
    </row>
    <row r="55" spans="2:9" x14ac:dyDescent="0.35">
      <c r="B55" s="244"/>
      <c r="C55" s="75">
        <v>10</v>
      </c>
      <c r="D55" s="76" t="s">
        <v>438</v>
      </c>
      <c r="E55" s="65">
        <v>1020.572</v>
      </c>
      <c r="F55" s="77">
        <v>3.4330971553792902E-2</v>
      </c>
      <c r="G55" s="76" t="s">
        <v>440</v>
      </c>
      <c r="H55" s="75">
        <v>10</v>
      </c>
      <c r="I55" s="244"/>
    </row>
    <row r="56" spans="2:9" x14ac:dyDescent="0.35">
      <c r="B56" s="244"/>
      <c r="C56" s="246" t="s">
        <v>108</v>
      </c>
      <c r="D56" s="247"/>
      <c r="E56" s="79">
        <f>SUM(E46:E55)</f>
        <v>19433.204999999998</v>
      </c>
      <c r="F56" s="80">
        <f>SUM(F46:F55)</f>
        <v>0.65371263179278494</v>
      </c>
      <c r="G56" s="246" t="s">
        <v>140</v>
      </c>
      <c r="H56" s="247"/>
      <c r="I56" s="244"/>
    </row>
    <row r="57" spans="2:9" x14ac:dyDescent="0.35">
      <c r="B57" s="245"/>
      <c r="C57" s="248" t="s">
        <v>109</v>
      </c>
      <c r="D57" s="249"/>
      <c r="E57" s="65">
        <f>E58-E56</f>
        <v>10294.238000000001</v>
      </c>
      <c r="F57" s="77">
        <f>F58-F56</f>
        <v>0.34628736820721506</v>
      </c>
      <c r="G57" s="248" t="s">
        <v>141</v>
      </c>
      <c r="H57" s="249"/>
      <c r="I57" s="245"/>
    </row>
    <row r="58" spans="2:9" x14ac:dyDescent="0.35">
      <c r="B58" s="240" t="s">
        <v>82</v>
      </c>
      <c r="C58" s="241"/>
      <c r="D58" s="242"/>
      <c r="E58" s="69">
        <v>29727.442999999999</v>
      </c>
      <c r="F58" s="81">
        <v>1</v>
      </c>
      <c r="G58" s="240" t="s">
        <v>98</v>
      </c>
      <c r="H58" s="241"/>
      <c r="I58" s="242"/>
    </row>
    <row r="59" spans="2:9" x14ac:dyDescent="0.35">
      <c r="B59" s="243">
        <v>2025</v>
      </c>
      <c r="C59" s="75">
        <v>1</v>
      </c>
      <c r="D59" s="76" t="s">
        <v>225</v>
      </c>
      <c r="E59" s="65">
        <v>3174.2579999999998</v>
      </c>
      <c r="F59" s="77">
        <v>0.10850388348409441</v>
      </c>
      <c r="G59" s="76" t="s">
        <v>236</v>
      </c>
      <c r="H59" s="75">
        <v>1</v>
      </c>
      <c r="I59" s="243">
        <v>2025</v>
      </c>
    </row>
    <row r="60" spans="2:9" x14ac:dyDescent="0.35">
      <c r="B60" s="244"/>
      <c r="C60" s="75">
        <v>2</v>
      </c>
      <c r="D60" s="76" t="s">
        <v>227</v>
      </c>
      <c r="E60" s="65">
        <v>2805.11</v>
      </c>
      <c r="F60" s="77">
        <v>9.5885504139886571E-2</v>
      </c>
      <c r="G60" s="76" t="s">
        <v>238</v>
      </c>
      <c r="H60" s="75">
        <v>2</v>
      </c>
      <c r="I60" s="244"/>
    </row>
    <row r="61" spans="2:9" x14ac:dyDescent="0.35">
      <c r="B61" s="244"/>
      <c r="C61" s="75">
        <v>3</v>
      </c>
      <c r="D61" s="76" t="s">
        <v>228</v>
      </c>
      <c r="E61" s="65">
        <v>2035.652</v>
      </c>
      <c r="F61" s="77">
        <v>6.9583552257618558E-2</v>
      </c>
      <c r="G61" s="76" t="s">
        <v>239</v>
      </c>
      <c r="H61" s="75">
        <v>3</v>
      </c>
      <c r="I61" s="244"/>
    </row>
    <row r="62" spans="2:9" x14ac:dyDescent="0.35">
      <c r="B62" s="244"/>
      <c r="C62" s="75">
        <v>4</v>
      </c>
      <c r="D62" s="76" t="s">
        <v>437</v>
      </c>
      <c r="E62" s="65">
        <v>2020.5239999999999</v>
      </c>
      <c r="F62" s="77">
        <v>6.9066440305991628E-2</v>
      </c>
      <c r="G62" s="76" t="s">
        <v>439</v>
      </c>
      <c r="H62" s="75">
        <v>4</v>
      </c>
      <c r="I62" s="244"/>
    </row>
    <row r="63" spans="2:9" x14ac:dyDescent="0.35">
      <c r="B63" s="244"/>
      <c r="C63" s="75">
        <v>5</v>
      </c>
      <c r="D63" s="76" t="s">
        <v>224</v>
      </c>
      <c r="E63" s="65">
        <v>1836.5730000000001</v>
      </c>
      <c r="F63" s="77">
        <v>6.2778546293979165E-2</v>
      </c>
      <c r="G63" s="76" t="s">
        <v>235</v>
      </c>
      <c r="H63" s="75">
        <v>5</v>
      </c>
      <c r="I63" s="244"/>
    </row>
    <row r="64" spans="2:9" x14ac:dyDescent="0.35">
      <c r="B64" s="244"/>
      <c r="C64" s="75">
        <v>6</v>
      </c>
      <c r="D64" s="76" t="s">
        <v>226</v>
      </c>
      <c r="E64" s="65">
        <v>1440.8679999999999</v>
      </c>
      <c r="F64" s="77">
        <v>4.9252383891908016E-2</v>
      </c>
      <c r="G64" s="76" t="s">
        <v>237</v>
      </c>
      <c r="H64" s="75">
        <v>6</v>
      </c>
      <c r="I64" s="244"/>
    </row>
    <row r="65" spans="2:9" x14ac:dyDescent="0.35">
      <c r="B65" s="244"/>
      <c r="C65" s="75">
        <v>7</v>
      </c>
      <c r="D65" s="76" t="s">
        <v>526</v>
      </c>
      <c r="E65" s="65">
        <v>1165.875</v>
      </c>
      <c r="F65" s="77">
        <v>3.9852452181586555E-2</v>
      </c>
      <c r="G65" s="76" t="s">
        <v>525</v>
      </c>
      <c r="H65" s="75">
        <v>7</v>
      </c>
      <c r="I65" s="244"/>
    </row>
    <row r="66" spans="2:9" x14ac:dyDescent="0.35">
      <c r="B66" s="244"/>
      <c r="C66" s="75">
        <v>8</v>
      </c>
      <c r="D66" s="76" t="s">
        <v>232</v>
      </c>
      <c r="E66" s="65">
        <v>1165.221</v>
      </c>
      <c r="F66" s="77">
        <v>3.9830096865856521E-2</v>
      </c>
      <c r="G66" s="76" t="s">
        <v>242</v>
      </c>
      <c r="H66" s="75">
        <v>8</v>
      </c>
      <c r="I66" s="244"/>
    </row>
    <row r="67" spans="2:9" x14ac:dyDescent="0.35">
      <c r="B67" s="244"/>
      <c r="C67" s="75">
        <v>9</v>
      </c>
      <c r="D67" s="76" t="s">
        <v>438</v>
      </c>
      <c r="E67" s="65">
        <v>1110.364</v>
      </c>
      <c r="F67" s="77">
        <v>3.7954950757289739E-2</v>
      </c>
      <c r="G67" s="76" t="s">
        <v>440</v>
      </c>
      <c r="H67" s="75">
        <v>9</v>
      </c>
      <c r="I67" s="244"/>
    </row>
    <row r="68" spans="2:9" x14ac:dyDescent="0.35">
      <c r="B68" s="244"/>
      <c r="C68" s="75">
        <v>10</v>
      </c>
      <c r="D68" s="76" t="s">
        <v>229</v>
      </c>
      <c r="E68" s="65">
        <v>1100.1420000000001</v>
      </c>
      <c r="F68" s="77">
        <v>3.760553785607805E-2</v>
      </c>
      <c r="G68" s="76" t="s">
        <v>245</v>
      </c>
      <c r="H68" s="75">
        <v>10</v>
      </c>
      <c r="I68" s="244"/>
    </row>
    <row r="69" spans="2:9" x14ac:dyDescent="0.35">
      <c r="B69" s="244"/>
      <c r="C69" s="246" t="s">
        <v>108</v>
      </c>
      <c r="D69" s="247"/>
      <c r="E69" s="79">
        <f>SUM(E59:E68)</f>
        <v>17854.587</v>
      </c>
      <c r="F69" s="80">
        <f>SUM(F59:F68)</f>
        <v>0.61031334803428916</v>
      </c>
      <c r="G69" s="246" t="s">
        <v>140</v>
      </c>
      <c r="H69" s="247"/>
      <c r="I69" s="244"/>
    </row>
    <row r="70" spans="2:9" x14ac:dyDescent="0.35">
      <c r="B70" s="245"/>
      <c r="C70" s="248" t="s">
        <v>109</v>
      </c>
      <c r="D70" s="249"/>
      <c r="E70" s="65">
        <f>E71-E69</f>
        <v>11400.2</v>
      </c>
      <c r="F70" s="77">
        <f>F71-F69</f>
        <v>0.38968665196571084</v>
      </c>
      <c r="G70" s="248" t="s">
        <v>141</v>
      </c>
      <c r="H70" s="249"/>
      <c r="I70" s="245"/>
    </row>
    <row r="71" spans="2:9" x14ac:dyDescent="0.35">
      <c r="B71" s="240" t="s">
        <v>82</v>
      </c>
      <c r="C71" s="241"/>
      <c r="D71" s="242"/>
      <c r="E71" s="69">
        <v>29254.787</v>
      </c>
      <c r="F71" s="81">
        <v>1</v>
      </c>
      <c r="G71" s="240" t="s">
        <v>98</v>
      </c>
      <c r="H71" s="241"/>
      <c r="I71" s="242"/>
    </row>
  </sheetData>
  <mergeCells count="42">
    <mergeCell ref="B71:D71"/>
    <mergeCell ref="G71:I71"/>
    <mergeCell ref="B59:B70"/>
    <mergeCell ref="I59:I70"/>
    <mergeCell ref="C69:D69"/>
    <mergeCell ref="G69:H69"/>
    <mergeCell ref="C70:D70"/>
    <mergeCell ref="G70:H70"/>
    <mergeCell ref="B32:D32"/>
    <mergeCell ref="G32:I32"/>
    <mergeCell ref="B20:B31"/>
    <mergeCell ref="I20:I31"/>
    <mergeCell ref="C30:D30"/>
    <mergeCell ref="C18:D18"/>
    <mergeCell ref="G18:H18"/>
    <mergeCell ref="G30:H30"/>
    <mergeCell ref="C31:D31"/>
    <mergeCell ref="G31:H31"/>
    <mergeCell ref="A2:F2"/>
    <mergeCell ref="A3:F3"/>
    <mergeCell ref="B45:D45"/>
    <mergeCell ref="G45:I45"/>
    <mergeCell ref="B33:B44"/>
    <mergeCell ref="I33:I44"/>
    <mergeCell ref="C43:D43"/>
    <mergeCell ref="G43:H43"/>
    <mergeCell ref="C44:D44"/>
    <mergeCell ref="G44:H44"/>
    <mergeCell ref="B19:D19"/>
    <mergeCell ref="G19:I19"/>
    <mergeCell ref="B7:B18"/>
    <mergeCell ref="I7:I18"/>
    <mergeCell ref="C17:D17"/>
    <mergeCell ref="G17:H17"/>
    <mergeCell ref="B58:D58"/>
    <mergeCell ref="G58:I58"/>
    <mergeCell ref="B46:B57"/>
    <mergeCell ref="I46:I57"/>
    <mergeCell ref="C56:D56"/>
    <mergeCell ref="G56:H56"/>
    <mergeCell ref="C57:D57"/>
    <mergeCell ref="G57:H57"/>
  </mergeCells>
  <pageMargins left="0.7" right="0.7" top="0.75" bottom="0.75" header="0.3" footer="0.3"/>
  <pageSetup orientation="portrait" r:id="rId1"/>
  <headerFooter>
    <oddFooter>&amp;C&amp;1#&amp;"Calibri"&amp;11&amp;Kffa500CONFIDENTIAL▮▮مقيّد</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U137"/>
  <sheetViews>
    <sheetView showGridLines="0" zoomScale="60" zoomScaleNormal="60" workbookViewId="0"/>
  </sheetViews>
  <sheetFormatPr defaultColWidth="8.81640625" defaultRowHeight="14.5" x14ac:dyDescent="0.35"/>
  <cols>
    <col min="3" max="3" width="17.81640625" bestFit="1" customWidth="1"/>
    <col min="4" max="4" width="36.453125" bestFit="1" customWidth="1"/>
    <col min="5" max="5" width="17.81640625" bestFit="1" customWidth="1"/>
    <col min="6" max="6" width="18.54296875" customWidth="1"/>
    <col min="7" max="7" width="21.453125" customWidth="1"/>
    <col min="8" max="8" width="22.453125" bestFit="1" customWidth="1"/>
    <col min="9" max="9" width="21.453125" customWidth="1"/>
    <col min="10" max="10" width="17.81640625" bestFit="1" customWidth="1"/>
    <col min="11" max="11" width="17.54296875" customWidth="1"/>
    <col min="12" max="12" width="20.453125" customWidth="1"/>
    <col min="13" max="13" width="18.54296875" customWidth="1"/>
    <col min="14" max="14" width="20.81640625" customWidth="1"/>
    <col min="15" max="18" width="17.54296875" customWidth="1"/>
    <col min="19" max="19" width="19.453125" bestFit="1" customWidth="1"/>
    <col min="20" max="20" width="17.54296875" customWidth="1"/>
    <col min="23" max="23" width="10.1796875" bestFit="1" customWidth="1"/>
  </cols>
  <sheetData>
    <row r="1" spans="1:21" x14ac:dyDescent="0.35">
      <c r="A1" s="9" t="s">
        <v>524</v>
      </c>
    </row>
    <row r="2" spans="1:21" x14ac:dyDescent="0.35">
      <c r="A2" s="232"/>
      <c r="B2" s="232"/>
      <c r="C2" s="232"/>
      <c r="D2" s="232"/>
      <c r="E2" s="232"/>
    </row>
    <row r="3" spans="1:21" x14ac:dyDescent="0.35">
      <c r="A3" s="232"/>
      <c r="B3" s="232"/>
      <c r="C3" s="232"/>
      <c r="D3" s="232"/>
      <c r="E3" s="232"/>
    </row>
    <row r="4" spans="1:21" s="84" customFormat="1" ht="18" customHeight="1" x14ac:dyDescent="0.35">
      <c r="A4" s="10" t="s">
        <v>11</v>
      </c>
      <c r="B4" s="30" t="s">
        <v>361</v>
      </c>
      <c r="C4" s="82"/>
      <c r="D4" s="82"/>
      <c r="E4" s="82"/>
      <c r="F4" s="82"/>
      <c r="G4" s="82"/>
      <c r="H4" s="82"/>
      <c r="I4" s="82"/>
      <c r="J4" s="82"/>
      <c r="K4" s="82"/>
      <c r="L4" s="82"/>
      <c r="M4" s="82"/>
      <c r="N4" s="82"/>
      <c r="O4" s="82"/>
      <c r="P4" s="82"/>
      <c r="Q4" s="82"/>
      <c r="R4" s="82"/>
      <c r="S4" s="82"/>
      <c r="T4" s="83"/>
      <c r="U4" s="74" t="s">
        <v>297</v>
      </c>
    </row>
    <row r="5" spans="1:21" ht="18" customHeight="1" x14ac:dyDescent="0.35">
      <c r="B5" s="59"/>
      <c r="C5" s="60"/>
    </row>
    <row r="6" spans="1:21" ht="18" customHeight="1" x14ac:dyDescent="0.35">
      <c r="B6" s="59"/>
      <c r="C6" s="60"/>
      <c r="E6" s="62" t="s">
        <v>261</v>
      </c>
      <c r="F6" s="62" t="s">
        <v>262</v>
      </c>
      <c r="G6" s="62" t="s">
        <v>263</v>
      </c>
      <c r="H6" s="62" t="s">
        <v>51</v>
      </c>
      <c r="I6" s="62" t="s">
        <v>264</v>
      </c>
      <c r="J6" s="62" t="s">
        <v>265</v>
      </c>
      <c r="K6" s="62" t="s">
        <v>266</v>
      </c>
      <c r="L6" s="62" t="s">
        <v>267</v>
      </c>
      <c r="M6" s="62" t="s">
        <v>268</v>
      </c>
      <c r="N6" s="62" t="s">
        <v>269</v>
      </c>
      <c r="O6" s="62" t="s">
        <v>270</v>
      </c>
      <c r="P6" s="62" t="s">
        <v>271</v>
      </c>
      <c r="Q6" s="62" t="s">
        <v>272</v>
      </c>
      <c r="R6" s="62" t="s">
        <v>98</v>
      </c>
    </row>
    <row r="7" spans="1:21" x14ac:dyDescent="0.35">
      <c r="B7" s="59"/>
      <c r="C7" s="61" t="s">
        <v>99</v>
      </c>
      <c r="D7" s="85" t="s">
        <v>223</v>
      </c>
      <c r="E7" s="62" t="s">
        <v>248</v>
      </c>
      <c r="F7" s="62" t="s">
        <v>249</v>
      </c>
      <c r="G7" s="62" t="s">
        <v>250</v>
      </c>
      <c r="H7" s="62" t="s">
        <v>251</v>
      </c>
      <c r="I7" s="62" t="s">
        <v>252</v>
      </c>
      <c r="J7" s="62" t="s">
        <v>253</v>
      </c>
      <c r="K7" s="62" t="s">
        <v>254</v>
      </c>
      <c r="L7" s="62" t="s">
        <v>255</v>
      </c>
      <c r="M7" s="62" t="s">
        <v>256</v>
      </c>
      <c r="N7" s="62" t="s">
        <v>257</v>
      </c>
      <c r="O7" s="62" t="s">
        <v>258</v>
      </c>
      <c r="P7" s="62" t="s">
        <v>259</v>
      </c>
      <c r="Q7" s="62" t="s">
        <v>260</v>
      </c>
      <c r="R7" s="62" t="s">
        <v>247</v>
      </c>
      <c r="S7" s="86" t="s">
        <v>222</v>
      </c>
      <c r="T7" s="87" t="s">
        <v>100</v>
      </c>
    </row>
    <row r="8" spans="1:21" x14ac:dyDescent="0.35">
      <c r="B8" s="233">
        <v>2021</v>
      </c>
      <c r="C8" s="250" t="s">
        <v>70</v>
      </c>
      <c r="D8" s="88" t="s">
        <v>313</v>
      </c>
      <c r="E8" s="89">
        <v>53.11</v>
      </c>
      <c r="F8" s="89">
        <v>300.68</v>
      </c>
      <c r="G8" s="89">
        <v>1338.91</v>
      </c>
      <c r="H8" s="89">
        <v>89529.03</v>
      </c>
      <c r="I8" s="89">
        <v>155.97999999999999</v>
      </c>
      <c r="J8" s="89">
        <v>748.3</v>
      </c>
      <c r="K8" s="89">
        <v>1777.88</v>
      </c>
      <c r="L8" s="89">
        <v>91.47</v>
      </c>
      <c r="M8" s="89">
        <v>38697.29</v>
      </c>
      <c r="N8" s="89">
        <v>343.88</v>
      </c>
      <c r="O8" s="89">
        <v>2308.94</v>
      </c>
      <c r="P8" s="89">
        <v>97023.59</v>
      </c>
      <c r="Q8" s="89">
        <v>395.95</v>
      </c>
      <c r="R8" s="89">
        <v>232765</v>
      </c>
      <c r="S8" s="88" t="s">
        <v>312</v>
      </c>
      <c r="T8" s="252" t="s">
        <v>86</v>
      </c>
      <c r="U8" s="262">
        <v>2021</v>
      </c>
    </row>
    <row r="9" spans="1:21" x14ac:dyDescent="0.35">
      <c r="B9" s="234"/>
      <c r="C9" s="251"/>
      <c r="D9" s="90" t="s">
        <v>345</v>
      </c>
      <c r="E9" s="91">
        <v>22551.98</v>
      </c>
      <c r="F9" s="91">
        <v>628522.1</v>
      </c>
      <c r="G9" s="91">
        <v>2578983.19</v>
      </c>
      <c r="H9" s="91">
        <v>210821631.63999999</v>
      </c>
      <c r="I9" s="91">
        <v>361931.1</v>
      </c>
      <c r="J9" s="91">
        <v>13769603.779999999</v>
      </c>
      <c r="K9" s="91">
        <v>8639097.9399999995</v>
      </c>
      <c r="L9" s="91">
        <v>341495.8</v>
      </c>
      <c r="M9" s="91">
        <v>101626123.98</v>
      </c>
      <c r="N9" s="91">
        <v>336530.54</v>
      </c>
      <c r="O9" s="91">
        <v>3827036.93</v>
      </c>
      <c r="P9" s="91">
        <v>603942267.52999997</v>
      </c>
      <c r="Q9" s="91">
        <v>945547.59</v>
      </c>
      <c r="R9" s="89">
        <v>947841324.10000002</v>
      </c>
      <c r="S9" s="90" t="s">
        <v>344</v>
      </c>
      <c r="T9" s="253"/>
      <c r="U9" s="263"/>
    </row>
    <row r="10" spans="1:21" x14ac:dyDescent="0.35">
      <c r="B10" s="234"/>
      <c r="C10" s="250" t="s">
        <v>71</v>
      </c>
      <c r="D10" s="88" t="s">
        <v>313</v>
      </c>
      <c r="E10" s="89">
        <v>26.73</v>
      </c>
      <c r="F10" s="89">
        <v>1148.1099999999999</v>
      </c>
      <c r="G10" s="89">
        <v>2295.52</v>
      </c>
      <c r="H10" s="89">
        <v>47368.75</v>
      </c>
      <c r="I10" s="89">
        <v>2898.41</v>
      </c>
      <c r="J10" s="89">
        <v>16.43</v>
      </c>
      <c r="K10" s="89">
        <v>601.79999999999995</v>
      </c>
      <c r="L10" s="89">
        <v>167.53</v>
      </c>
      <c r="M10" s="89">
        <v>18670.02</v>
      </c>
      <c r="N10" s="89">
        <v>405.86</v>
      </c>
      <c r="O10" s="89">
        <v>1517.42</v>
      </c>
      <c r="P10" s="89">
        <v>49444.76</v>
      </c>
      <c r="Q10" s="89">
        <v>470.64</v>
      </c>
      <c r="R10" s="89">
        <v>125031.99</v>
      </c>
      <c r="S10" s="88" t="s">
        <v>312</v>
      </c>
      <c r="T10" s="252" t="s">
        <v>87</v>
      </c>
      <c r="U10" s="263"/>
    </row>
    <row r="11" spans="1:21" x14ac:dyDescent="0.35">
      <c r="B11" s="234"/>
      <c r="C11" s="251"/>
      <c r="D11" s="90" t="s">
        <v>345</v>
      </c>
      <c r="E11" s="91">
        <v>114541.23</v>
      </c>
      <c r="F11" s="91">
        <v>5003585.0199999996</v>
      </c>
      <c r="G11" s="91">
        <v>4572254.3</v>
      </c>
      <c r="H11" s="91">
        <v>125120529.56</v>
      </c>
      <c r="I11" s="91">
        <v>15924612.02</v>
      </c>
      <c r="J11" s="91">
        <v>65745.3</v>
      </c>
      <c r="K11" s="91">
        <v>3830567</v>
      </c>
      <c r="L11" s="91">
        <v>477424.32</v>
      </c>
      <c r="M11" s="91">
        <v>84157094.420000002</v>
      </c>
      <c r="N11" s="91">
        <v>10283844.710000001</v>
      </c>
      <c r="O11" s="91">
        <v>2887022.96</v>
      </c>
      <c r="P11" s="91">
        <v>324801668.37</v>
      </c>
      <c r="Q11" s="91">
        <v>4790264.4400000004</v>
      </c>
      <c r="R11" s="89">
        <v>582029153.63999999</v>
      </c>
      <c r="S11" s="90" t="s">
        <v>344</v>
      </c>
      <c r="T11" s="253"/>
      <c r="U11" s="263"/>
    </row>
    <row r="12" spans="1:21" x14ac:dyDescent="0.35">
      <c r="B12" s="234"/>
      <c r="C12" s="250" t="s">
        <v>72</v>
      </c>
      <c r="D12" s="88" t="s">
        <v>313</v>
      </c>
      <c r="E12" s="89">
        <v>31.02</v>
      </c>
      <c r="F12" s="89">
        <v>21503.07</v>
      </c>
      <c r="G12" s="89">
        <v>624.08000000000004</v>
      </c>
      <c r="H12" s="89">
        <v>43300.45</v>
      </c>
      <c r="I12" s="89">
        <v>1013.19</v>
      </c>
      <c r="J12" s="89">
        <v>2035.85</v>
      </c>
      <c r="K12" s="89">
        <v>731.2</v>
      </c>
      <c r="L12" s="89">
        <v>2443.02</v>
      </c>
      <c r="M12" s="89">
        <v>37855.25</v>
      </c>
      <c r="N12" s="89">
        <v>157.79</v>
      </c>
      <c r="O12" s="89">
        <v>2139.5500000000002</v>
      </c>
      <c r="P12" s="89">
        <v>36147.480000000003</v>
      </c>
      <c r="Q12" s="89">
        <v>312.04000000000002</v>
      </c>
      <c r="R12" s="89">
        <v>148293.99</v>
      </c>
      <c r="S12" s="88" t="s">
        <v>312</v>
      </c>
      <c r="T12" s="252" t="s">
        <v>88</v>
      </c>
      <c r="U12" s="263"/>
    </row>
    <row r="13" spans="1:21" x14ac:dyDescent="0.35">
      <c r="B13" s="234"/>
      <c r="C13" s="251"/>
      <c r="D13" s="90" t="s">
        <v>345</v>
      </c>
      <c r="E13" s="91">
        <v>38707.33</v>
      </c>
      <c r="F13" s="91">
        <v>80286635.099999994</v>
      </c>
      <c r="G13" s="91">
        <v>1586424.51</v>
      </c>
      <c r="H13" s="91">
        <v>108260904.63</v>
      </c>
      <c r="I13" s="91">
        <v>4497216.63</v>
      </c>
      <c r="J13" s="91">
        <v>8385718.1699999999</v>
      </c>
      <c r="K13" s="91">
        <v>2207334.77</v>
      </c>
      <c r="L13" s="91">
        <v>8550553.4100000001</v>
      </c>
      <c r="M13" s="91">
        <v>106436010.48999999</v>
      </c>
      <c r="N13" s="91">
        <v>309843.98</v>
      </c>
      <c r="O13" s="91">
        <v>4145384.71</v>
      </c>
      <c r="P13" s="91">
        <v>177036348.28999999</v>
      </c>
      <c r="Q13" s="91">
        <v>1248162.0900000001</v>
      </c>
      <c r="R13" s="89">
        <v>502989244.12</v>
      </c>
      <c r="S13" s="90" t="s">
        <v>344</v>
      </c>
      <c r="T13" s="253"/>
      <c r="U13" s="263"/>
    </row>
    <row r="14" spans="1:21" x14ac:dyDescent="0.35">
      <c r="B14" s="234"/>
      <c r="C14" s="250" t="s">
        <v>73</v>
      </c>
      <c r="D14" s="88" t="s">
        <v>313</v>
      </c>
      <c r="E14" s="89">
        <v>48.4</v>
      </c>
      <c r="F14" s="89">
        <v>1133.21</v>
      </c>
      <c r="G14" s="89">
        <v>582.46</v>
      </c>
      <c r="H14" s="89">
        <v>49592.14</v>
      </c>
      <c r="I14" s="89">
        <v>48.35</v>
      </c>
      <c r="J14" s="89">
        <v>1393.39</v>
      </c>
      <c r="K14" s="89">
        <v>1183.21</v>
      </c>
      <c r="L14" s="89">
        <v>51.72</v>
      </c>
      <c r="M14" s="89">
        <v>44743.41</v>
      </c>
      <c r="N14" s="89">
        <v>48.4</v>
      </c>
      <c r="O14" s="89">
        <v>3952.29</v>
      </c>
      <c r="P14" s="89">
        <v>70886.789999999994</v>
      </c>
      <c r="Q14" s="89">
        <v>2367.4299999999998</v>
      </c>
      <c r="R14" s="89">
        <v>176031.2</v>
      </c>
      <c r="S14" s="88" t="s">
        <v>312</v>
      </c>
      <c r="T14" s="252" t="s">
        <v>89</v>
      </c>
      <c r="U14" s="263"/>
    </row>
    <row r="15" spans="1:21" x14ac:dyDescent="0.35">
      <c r="B15" s="234"/>
      <c r="C15" s="251"/>
      <c r="D15" s="90" t="s">
        <v>345</v>
      </c>
      <c r="E15" s="91">
        <v>33072.33</v>
      </c>
      <c r="F15" s="91">
        <v>3562658.51</v>
      </c>
      <c r="G15" s="91">
        <v>6363314.29</v>
      </c>
      <c r="H15" s="91">
        <v>175061259.30000001</v>
      </c>
      <c r="I15" s="91">
        <v>100480.8</v>
      </c>
      <c r="J15" s="91">
        <v>7337582.1900000004</v>
      </c>
      <c r="K15" s="91">
        <v>5067279.01</v>
      </c>
      <c r="L15" s="91">
        <v>149400.76</v>
      </c>
      <c r="M15" s="91">
        <v>160725100.83000001</v>
      </c>
      <c r="N15" s="91">
        <v>20972.7</v>
      </c>
      <c r="O15" s="91">
        <v>8015263.2999999998</v>
      </c>
      <c r="P15" s="91">
        <v>404411986.17000002</v>
      </c>
      <c r="Q15" s="91">
        <v>29959684.57</v>
      </c>
      <c r="R15" s="89">
        <v>800808054.75999999</v>
      </c>
      <c r="S15" s="90" t="s">
        <v>344</v>
      </c>
      <c r="T15" s="253"/>
      <c r="U15" s="263"/>
    </row>
    <row r="16" spans="1:21" x14ac:dyDescent="0.35">
      <c r="B16" s="234"/>
      <c r="C16" s="250" t="s">
        <v>74</v>
      </c>
      <c r="D16" s="88" t="s">
        <v>313</v>
      </c>
      <c r="E16" s="89">
        <v>19.73</v>
      </c>
      <c r="F16" s="89">
        <v>1830.32</v>
      </c>
      <c r="G16" s="89">
        <v>239.12</v>
      </c>
      <c r="H16" s="89">
        <v>67672.91</v>
      </c>
      <c r="I16" s="89">
        <v>275.81</v>
      </c>
      <c r="J16" s="89">
        <v>95.07</v>
      </c>
      <c r="K16" s="89">
        <v>1458.22</v>
      </c>
      <c r="L16" s="89">
        <v>184.69</v>
      </c>
      <c r="M16" s="89">
        <v>28137.83</v>
      </c>
      <c r="N16" s="89">
        <v>95.07</v>
      </c>
      <c r="O16" s="89">
        <v>5111.96</v>
      </c>
      <c r="P16" s="89">
        <v>78427.27</v>
      </c>
      <c r="Q16" s="89">
        <v>1297.07</v>
      </c>
      <c r="R16" s="89">
        <v>184845.06</v>
      </c>
      <c r="S16" s="88" t="s">
        <v>312</v>
      </c>
      <c r="T16" s="252" t="s">
        <v>90</v>
      </c>
      <c r="U16" s="263"/>
    </row>
    <row r="17" spans="2:21" x14ac:dyDescent="0.35">
      <c r="B17" s="234"/>
      <c r="C17" s="251"/>
      <c r="D17" s="90" t="s">
        <v>345</v>
      </c>
      <c r="E17" s="91">
        <v>126752.2</v>
      </c>
      <c r="F17" s="91">
        <v>5347486.4000000004</v>
      </c>
      <c r="G17" s="91">
        <v>286815.09000000003</v>
      </c>
      <c r="H17" s="91">
        <v>200523721.21000001</v>
      </c>
      <c r="I17" s="91">
        <v>1773864.23</v>
      </c>
      <c r="J17" s="91">
        <v>88730.32</v>
      </c>
      <c r="K17" s="91">
        <v>4064672.32</v>
      </c>
      <c r="L17" s="91">
        <v>788550.37</v>
      </c>
      <c r="M17" s="91">
        <v>105854312.53</v>
      </c>
      <c r="N17" s="91">
        <v>41196.22</v>
      </c>
      <c r="O17" s="91">
        <v>10225037.48</v>
      </c>
      <c r="P17" s="91">
        <v>407827100.19999999</v>
      </c>
      <c r="Q17" s="91">
        <v>8000009.4000000004</v>
      </c>
      <c r="R17" s="89">
        <v>744948247.96000004</v>
      </c>
      <c r="S17" s="90" t="s">
        <v>344</v>
      </c>
      <c r="T17" s="253"/>
      <c r="U17" s="263"/>
    </row>
    <row r="18" spans="2:21" x14ac:dyDescent="0.35">
      <c r="B18" s="234"/>
      <c r="C18" s="250" t="s">
        <v>75</v>
      </c>
      <c r="D18" s="88" t="s">
        <v>313</v>
      </c>
      <c r="E18" s="89">
        <v>138.56</v>
      </c>
      <c r="F18" s="89">
        <v>709.63</v>
      </c>
      <c r="G18" s="89">
        <v>45.22</v>
      </c>
      <c r="H18" s="89">
        <v>58184.76</v>
      </c>
      <c r="I18" s="89">
        <v>278.89999999999998</v>
      </c>
      <c r="J18" s="89">
        <v>103.92</v>
      </c>
      <c r="K18" s="89">
        <v>1129.1500000000001</v>
      </c>
      <c r="L18" s="89">
        <v>175.7</v>
      </c>
      <c r="M18" s="89">
        <v>30829.82</v>
      </c>
      <c r="N18" s="89">
        <v>103.92</v>
      </c>
      <c r="O18" s="89">
        <v>8934.0300000000007</v>
      </c>
      <c r="P18" s="89">
        <v>73168.820000000007</v>
      </c>
      <c r="Q18" s="89">
        <v>1628.87</v>
      </c>
      <c r="R18" s="89">
        <v>175431.29</v>
      </c>
      <c r="S18" s="88" t="s">
        <v>312</v>
      </c>
      <c r="T18" s="252" t="s">
        <v>91</v>
      </c>
      <c r="U18" s="263"/>
    </row>
    <row r="19" spans="2:21" x14ac:dyDescent="0.35">
      <c r="B19" s="234"/>
      <c r="C19" s="251"/>
      <c r="D19" s="90" t="s">
        <v>345</v>
      </c>
      <c r="E19" s="91">
        <v>34639.54</v>
      </c>
      <c r="F19" s="91">
        <v>1682433.69</v>
      </c>
      <c r="G19" s="91">
        <v>70287.92</v>
      </c>
      <c r="H19" s="91">
        <v>220443562.93000001</v>
      </c>
      <c r="I19" s="91">
        <v>531791.16</v>
      </c>
      <c r="J19" s="91">
        <v>96990.720000000001</v>
      </c>
      <c r="K19" s="91">
        <v>3618435.18</v>
      </c>
      <c r="L19" s="91">
        <v>1181006.3899999999</v>
      </c>
      <c r="M19" s="91">
        <v>97096928.530000001</v>
      </c>
      <c r="N19" s="91">
        <v>45031.41</v>
      </c>
      <c r="O19" s="91">
        <v>18693237.829999998</v>
      </c>
      <c r="P19" s="91">
        <v>444101790.08999997</v>
      </c>
      <c r="Q19" s="91">
        <v>6033565.9800000004</v>
      </c>
      <c r="R19" s="89">
        <v>793629701.37</v>
      </c>
      <c r="S19" s="90" t="s">
        <v>344</v>
      </c>
      <c r="T19" s="253"/>
      <c r="U19" s="263"/>
    </row>
    <row r="20" spans="2:21" x14ac:dyDescent="0.35">
      <c r="B20" s="234"/>
      <c r="C20" s="250" t="s">
        <v>76</v>
      </c>
      <c r="D20" s="88" t="s">
        <v>313</v>
      </c>
      <c r="E20" s="89">
        <v>107.16</v>
      </c>
      <c r="F20" s="89">
        <v>2178.6799999999998</v>
      </c>
      <c r="G20" s="89">
        <v>107.16</v>
      </c>
      <c r="H20" s="89">
        <v>71795.47</v>
      </c>
      <c r="I20" s="89">
        <v>274.67</v>
      </c>
      <c r="J20" s="89">
        <v>80.37</v>
      </c>
      <c r="K20" s="89">
        <v>2092.62</v>
      </c>
      <c r="L20" s="89">
        <v>1625.95</v>
      </c>
      <c r="M20" s="89">
        <v>38957.99</v>
      </c>
      <c r="N20" s="89">
        <v>80.37</v>
      </c>
      <c r="O20" s="89">
        <v>23281.439999999999</v>
      </c>
      <c r="P20" s="89">
        <v>89025.99</v>
      </c>
      <c r="Q20" s="89">
        <v>1687.3</v>
      </c>
      <c r="R20" s="89">
        <v>231295.2</v>
      </c>
      <c r="S20" s="88" t="s">
        <v>312</v>
      </c>
      <c r="T20" s="252" t="s">
        <v>92</v>
      </c>
      <c r="U20" s="263"/>
    </row>
    <row r="21" spans="2:21" x14ac:dyDescent="0.35">
      <c r="B21" s="234"/>
      <c r="C21" s="251"/>
      <c r="D21" s="90" t="s">
        <v>345</v>
      </c>
      <c r="E21" s="91">
        <v>26791.200000000001</v>
      </c>
      <c r="F21" s="91">
        <v>4952215.8099999996</v>
      </c>
      <c r="G21" s="91">
        <v>128597.77</v>
      </c>
      <c r="H21" s="91">
        <v>233273394.49000001</v>
      </c>
      <c r="I21" s="91">
        <v>1258070.49</v>
      </c>
      <c r="J21" s="91">
        <v>75015.360000000001</v>
      </c>
      <c r="K21" s="91">
        <v>6370696.6799999997</v>
      </c>
      <c r="L21" s="91">
        <v>12535513.15</v>
      </c>
      <c r="M21" s="91">
        <v>182478831.96000001</v>
      </c>
      <c r="N21" s="91">
        <v>34828.559999999998</v>
      </c>
      <c r="O21" s="91">
        <v>36048151.840000004</v>
      </c>
      <c r="P21" s="91">
        <v>514262234</v>
      </c>
      <c r="Q21" s="91">
        <v>4309846.1399999997</v>
      </c>
      <c r="R21" s="89">
        <v>995754187.46000004</v>
      </c>
      <c r="S21" s="90" t="s">
        <v>344</v>
      </c>
      <c r="T21" s="253"/>
      <c r="U21" s="263"/>
    </row>
    <row r="22" spans="2:21" x14ac:dyDescent="0.35">
      <c r="B22" s="234"/>
      <c r="C22" s="250" t="s">
        <v>77</v>
      </c>
      <c r="D22" s="88" t="s">
        <v>313</v>
      </c>
      <c r="E22" s="89">
        <v>19.2</v>
      </c>
      <c r="F22" s="89">
        <v>2781.09</v>
      </c>
      <c r="G22" s="89">
        <v>718.37</v>
      </c>
      <c r="H22" s="89">
        <v>101805.51</v>
      </c>
      <c r="I22" s="89">
        <v>1035.46</v>
      </c>
      <c r="J22" s="89">
        <v>2.31</v>
      </c>
      <c r="K22" s="89">
        <v>2358.91</v>
      </c>
      <c r="L22" s="89">
        <v>1085.96</v>
      </c>
      <c r="M22" s="89">
        <v>41357.589999999997</v>
      </c>
      <c r="N22" s="89">
        <v>41.06</v>
      </c>
      <c r="O22" s="89">
        <v>18188.580000000002</v>
      </c>
      <c r="P22" s="89">
        <v>85279.5</v>
      </c>
      <c r="Q22" s="89">
        <v>2690.49</v>
      </c>
      <c r="R22" s="89">
        <v>257364.04</v>
      </c>
      <c r="S22" s="88" t="s">
        <v>312</v>
      </c>
      <c r="T22" s="252" t="s">
        <v>93</v>
      </c>
      <c r="U22" s="263"/>
    </row>
    <row r="23" spans="2:21" x14ac:dyDescent="0.35">
      <c r="B23" s="234"/>
      <c r="C23" s="251"/>
      <c r="D23" s="90" t="s">
        <v>345</v>
      </c>
      <c r="E23" s="91">
        <v>95415.37</v>
      </c>
      <c r="F23" s="91">
        <v>7635570.1200000001</v>
      </c>
      <c r="G23" s="91">
        <v>4020521.05</v>
      </c>
      <c r="H23" s="91">
        <v>281569575.19</v>
      </c>
      <c r="I23" s="91">
        <v>3493614.49</v>
      </c>
      <c r="J23" s="91">
        <v>4389.5600000000004</v>
      </c>
      <c r="K23" s="91">
        <v>6788588.7199999997</v>
      </c>
      <c r="L23" s="91">
        <v>4948318.6500000004</v>
      </c>
      <c r="M23" s="91">
        <v>125938756.68000001</v>
      </c>
      <c r="N23" s="91">
        <v>68886.41</v>
      </c>
      <c r="O23" s="91">
        <v>42147251.409999996</v>
      </c>
      <c r="P23" s="91">
        <v>482011261.98000002</v>
      </c>
      <c r="Q23" s="91">
        <v>7294659.3700000001</v>
      </c>
      <c r="R23" s="89">
        <v>966016808.98000002</v>
      </c>
      <c r="S23" s="90" t="s">
        <v>344</v>
      </c>
      <c r="T23" s="253"/>
      <c r="U23" s="263"/>
    </row>
    <row r="24" spans="2:21" x14ac:dyDescent="0.35">
      <c r="B24" s="234"/>
      <c r="C24" s="250" t="s">
        <v>78</v>
      </c>
      <c r="D24" s="88" t="s">
        <v>313</v>
      </c>
      <c r="E24" s="89">
        <v>25.81</v>
      </c>
      <c r="F24" s="89">
        <v>2376.5300000000002</v>
      </c>
      <c r="G24" s="89">
        <v>134.22999999999999</v>
      </c>
      <c r="H24" s="89">
        <v>129409.97</v>
      </c>
      <c r="I24" s="89">
        <v>489.95</v>
      </c>
      <c r="J24" s="89">
        <v>2.96</v>
      </c>
      <c r="K24" s="89">
        <v>2383.37</v>
      </c>
      <c r="L24" s="89">
        <v>145.33000000000001</v>
      </c>
      <c r="M24" s="89">
        <v>51374.32</v>
      </c>
      <c r="N24" s="89">
        <v>36.33</v>
      </c>
      <c r="O24" s="89">
        <v>16204.07</v>
      </c>
      <c r="P24" s="89">
        <v>103833.07</v>
      </c>
      <c r="Q24" s="89">
        <v>1747.16</v>
      </c>
      <c r="R24" s="89">
        <v>308163.08</v>
      </c>
      <c r="S24" s="88" t="s">
        <v>312</v>
      </c>
      <c r="T24" s="252" t="s">
        <v>94</v>
      </c>
      <c r="U24" s="263"/>
    </row>
    <row r="25" spans="2:21" x14ac:dyDescent="0.35">
      <c r="B25" s="234"/>
      <c r="C25" s="251"/>
      <c r="D25" s="90" t="s">
        <v>345</v>
      </c>
      <c r="E25" s="91">
        <v>600213.17000000004</v>
      </c>
      <c r="F25" s="91">
        <v>5657910.54</v>
      </c>
      <c r="G25" s="91">
        <v>231923.11</v>
      </c>
      <c r="H25" s="91">
        <v>225273884.86000001</v>
      </c>
      <c r="I25" s="91">
        <v>1509679.02</v>
      </c>
      <c r="J25" s="91">
        <v>7585.05</v>
      </c>
      <c r="K25" s="91">
        <v>9245936.9499999993</v>
      </c>
      <c r="L25" s="91">
        <v>267656.86</v>
      </c>
      <c r="M25" s="91">
        <v>196146304.30000001</v>
      </c>
      <c r="N25" s="91">
        <v>61464.19</v>
      </c>
      <c r="O25" s="91">
        <v>36333180.090000004</v>
      </c>
      <c r="P25" s="91">
        <v>626210549.25</v>
      </c>
      <c r="Q25" s="91">
        <v>9454844.4800000004</v>
      </c>
      <c r="R25" s="89">
        <v>1111001131.8599999</v>
      </c>
      <c r="S25" s="90" t="s">
        <v>344</v>
      </c>
      <c r="T25" s="253"/>
      <c r="U25" s="263"/>
    </row>
    <row r="26" spans="2:21" x14ac:dyDescent="0.35">
      <c r="B26" s="234"/>
      <c r="C26" s="250" t="s">
        <v>79</v>
      </c>
      <c r="D26" s="88" t="s">
        <v>313</v>
      </c>
      <c r="E26" s="89">
        <v>77.989999999999995</v>
      </c>
      <c r="F26" s="89">
        <v>5491.55</v>
      </c>
      <c r="G26" s="89">
        <v>1663.38</v>
      </c>
      <c r="H26" s="89">
        <v>171790.06</v>
      </c>
      <c r="I26" s="89">
        <v>29766.18</v>
      </c>
      <c r="J26" s="89">
        <v>41.46</v>
      </c>
      <c r="K26" s="89">
        <v>774.51</v>
      </c>
      <c r="L26" s="89">
        <v>4781.29</v>
      </c>
      <c r="M26" s="89">
        <v>73128.7</v>
      </c>
      <c r="N26" s="89">
        <v>635.53</v>
      </c>
      <c r="O26" s="89">
        <v>15606.18</v>
      </c>
      <c r="P26" s="89">
        <v>126386.61</v>
      </c>
      <c r="Q26" s="89">
        <v>22841.27</v>
      </c>
      <c r="R26" s="89">
        <v>452984.69</v>
      </c>
      <c r="S26" s="88" t="s">
        <v>312</v>
      </c>
      <c r="T26" s="252" t="s">
        <v>95</v>
      </c>
      <c r="U26" s="263"/>
    </row>
    <row r="27" spans="2:21" x14ac:dyDescent="0.35">
      <c r="B27" s="234"/>
      <c r="C27" s="251"/>
      <c r="D27" s="90" t="s">
        <v>345</v>
      </c>
      <c r="E27" s="91">
        <v>1753381.74</v>
      </c>
      <c r="F27" s="91">
        <v>14596642.26</v>
      </c>
      <c r="G27" s="91">
        <v>4042903.56</v>
      </c>
      <c r="H27" s="91">
        <v>368221003.72000003</v>
      </c>
      <c r="I27" s="91">
        <v>123578501.12</v>
      </c>
      <c r="J27" s="91">
        <v>88095.51</v>
      </c>
      <c r="K27" s="91">
        <v>3730537.43</v>
      </c>
      <c r="L27" s="91">
        <v>12119739.48</v>
      </c>
      <c r="M27" s="91">
        <v>371575164.67000002</v>
      </c>
      <c r="N27" s="91">
        <v>900210.3</v>
      </c>
      <c r="O27" s="91">
        <v>29111110.440000001</v>
      </c>
      <c r="P27" s="91">
        <v>863194731.69000006</v>
      </c>
      <c r="Q27" s="91">
        <v>140084417.22</v>
      </c>
      <c r="R27" s="89">
        <v>1932996439.1300001</v>
      </c>
      <c r="S27" s="90" t="s">
        <v>344</v>
      </c>
      <c r="T27" s="253"/>
      <c r="U27" s="263"/>
    </row>
    <row r="28" spans="2:21" x14ac:dyDescent="0.35">
      <c r="B28" s="234"/>
      <c r="C28" s="250" t="s">
        <v>80</v>
      </c>
      <c r="D28" s="88" t="s">
        <v>313</v>
      </c>
      <c r="E28" s="89">
        <v>93.31</v>
      </c>
      <c r="F28" s="89">
        <v>10877.19</v>
      </c>
      <c r="G28" s="89">
        <v>4087.47</v>
      </c>
      <c r="H28" s="89">
        <v>148420.28</v>
      </c>
      <c r="I28" s="89">
        <v>16837.060000000001</v>
      </c>
      <c r="J28" s="89">
        <v>14.16</v>
      </c>
      <c r="K28" s="89">
        <v>1692.51</v>
      </c>
      <c r="L28" s="89">
        <v>5218.3999999999996</v>
      </c>
      <c r="M28" s="89">
        <v>133097.79</v>
      </c>
      <c r="N28" s="89">
        <v>262.88</v>
      </c>
      <c r="O28" s="89">
        <v>13890.97</v>
      </c>
      <c r="P28" s="89">
        <v>157860.01999999999</v>
      </c>
      <c r="Q28" s="89">
        <v>1241.1600000000001</v>
      </c>
      <c r="R28" s="89">
        <v>493593.21</v>
      </c>
      <c r="S28" s="88" t="s">
        <v>312</v>
      </c>
      <c r="T28" s="252" t="s">
        <v>96</v>
      </c>
      <c r="U28" s="263"/>
    </row>
    <row r="29" spans="2:21" x14ac:dyDescent="0.35">
      <c r="B29" s="234"/>
      <c r="C29" s="251"/>
      <c r="D29" s="90" t="s">
        <v>345</v>
      </c>
      <c r="E29" s="91">
        <v>93306.32</v>
      </c>
      <c r="F29" s="91">
        <v>91339549.379999995</v>
      </c>
      <c r="G29" s="91">
        <v>34191787.649999999</v>
      </c>
      <c r="H29" s="91">
        <v>324596446.19</v>
      </c>
      <c r="I29" s="91">
        <v>80661847.140000001</v>
      </c>
      <c r="J29" s="91">
        <v>36822.879999999997</v>
      </c>
      <c r="K29" s="91">
        <v>8671759.9199999999</v>
      </c>
      <c r="L29" s="91">
        <v>13783910.619999999</v>
      </c>
      <c r="M29" s="91">
        <v>648525453.08000004</v>
      </c>
      <c r="N29" s="91">
        <v>473190</v>
      </c>
      <c r="O29" s="91">
        <v>30568473.390000001</v>
      </c>
      <c r="P29" s="91">
        <v>1001773789.36</v>
      </c>
      <c r="Q29" s="91">
        <v>5700191.1699999999</v>
      </c>
      <c r="R29" s="89">
        <v>2240416527.0700002</v>
      </c>
      <c r="S29" s="90" t="s">
        <v>344</v>
      </c>
      <c r="T29" s="253"/>
      <c r="U29" s="263"/>
    </row>
    <row r="30" spans="2:21" x14ac:dyDescent="0.35">
      <c r="B30" s="234"/>
      <c r="C30" s="250" t="s">
        <v>81</v>
      </c>
      <c r="D30" s="88" t="s">
        <v>313</v>
      </c>
      <c r="E30" s="89">
        <v>52.8</v>
      </c>
      <c r="F30" s="89">
        <v>5758.69</v>
      </c>
      <c r="G30" s="89">
        <v>8469.17</v>
      </c>
      <c r="H30" s="89">
        <v>208759.04000000001</v>
      </c>
      <c r="I30" s="89">
        <v>37399.279999999999</v>
      </c>
      <c r="J30" s="89">
        <v>143.43</v>
      </c>
      <c r="K30" s="89">
        <v>1637.8</v>
      </c>
      <c r="L30" s="89">
        <v>3418.97</v>
      </c>
      <c r="M30" s="89">
        <v>151873.37</v>
      </c>
      <c r="N30" s="89">
        <v>1860.51</v>
      </c>
      <c r="O30" s="89">
        <v>15242.6</v>
      </c>
      <c r="P30" s="89">
        <v>255922.53</v>
      </c>
      <c r="Q30" s="89">
        <v>879.33</v>
      </c>
      <c r="R30" s="89">
        <v>691417.54</v>
      </c>
      <c r="S30" s="88" t="s">
        <v>312</v>
      </c>
      <c r="T30" s="252" t="s">
        <v>97</v>
      </c>
      <c r="U30" s="263"/>
    </row>
    <row r="31" spans="2:21" x14ac:dyDescent="0.35">
      <c r="B31" s="235"/>
      <c r="C31" s="251"/>
      <c r="D31" s="90" t="s">
        <v>345</v>
      </c>
      <c r="E31" s="91">
        <v>124617.58</v>
      </c>
      <c r="F31" s="91">
        <v>17868325.050000001</v>
      </c>
      <c r="G31" s="91">
        <v>47375524.770000003</v>
      </c>
      <c r="H31" s="91">
        <v>432520580.72000003</v>
      </c>
      <c r="I31" s="91">
        <v>121557993.81</v>
      </c>
      <c r="J31" s="91">
        <v>366348.98</v>
      </c>
      <c r="K31" s="91">
        <v>11071047.51</v>
      </c>
      <c r="L31" s="91">
        <v>17221816.300000001</v>
      </c>
      <c r="M31" s="91">
        <v>783310346.27999997</v>
      </c>
      <c r="N31" s="91">
        <v>6734818.0999999996</v>
      </c>
      <c r="O31" s="91">
        <v>32798718.210000001</v>
      </c>
      <c r="P31" s="91">
        <v>1622131752.21</v>
      </c>
      <c r="Q31" s="91">
        <v>4034680.5</v>
      </c>
      <c r="R31" s="91">
        <v>3097116570.0300002</v>
      </c>
      <c r="S31" s="90" t="s">
        <v>344</v>
      </c>
      <c r="T31" s="253"/>
      <c r="U31" s="264"/>
    </row>
    <row r="32" spans="2:21" x14ac:dyDescent="0.35">
      <c r="B32" s="254" t="s">
        <v>82</v>
      </c>
      <c r="C32" s="255"/>
      <c r="D32" s="92" t="s">
        <v>313</v>
      </c>
      <c r="E32" s="93">
        <v>693.81</v>
      </c>
      <c r="F32" s="93">
        <v>56088.74</v>
      </c>
      <c r="G32" s="93">
        <v>20305.09</v>
      </c>
      <c r="H32" s="93">
        <v>1187628.3600000001</v>
      </c>
      <c r="I32" s="93">
        <v>90473.25</v>
      </c>
      <c r="J32" s="93">
        <v>4677.66</v>
      </c>
      <c r="K32" s="93">
        <v>17821.189999999999</v>
      </c>
      <c r="L32" s="93">
        <v>19390.03</v>
      </c>
      <c r="M32" s="93">
        <v>688723.39</v>
      </c>
      <c r="N32" s="93">
        <v>4071.62</v>
      </c>
      <c r="O32" s="93">
        <v>126378.03</v>
      </c>
      <c r="P32" s="93">
        <v>1223406.44</v>
      </c>
      <c r="Q32" s="93">
        <v>37558.699999999997</v>
      </c>
      <c r="R32" s="93">
        <v>3477216.31</v>
      </c>
      <c r="S32" s="92" t="s">
        <v>312</v>
      </c>
      <c r="T32" s="258" t="s">
        <v>98</v>
      </c>
      <c r="U32" s="259"/>
    </row>
    <row r="33" spans="2:21" x14ac:dyDescent="0.35">
      <c r="B33" s="256"/>
      <c r="C33" s="257"/>
      <c r="D33" s="94" t="s">
        <v>345</v>
      </c>
      <c r="E33" s="93">
        <v>3063989.98</v>
      </c>
      <c r="F33" s="93">
        <v>238561533.97999999</v>
      </c>
      <c r="G33" s="93">
        <v>105449337.20999999</v>
      </c>
      <c r="H33" s="93">
        <v>2905686494.46</v>
      </c>
      <c r="I33" s="93">
        <v>355249601.99000001</v>
      </c>
      <c r="J33" s="93">
        <v>30322627.809999999</v>
      </c>
      <c r="K33" s="93">
        <v>73305953.430000007</v>
      </c>
      <c r="L33" s="93">
        <v>72365386.099999994</v>
      </c>
      <c r="M33" s="93">
        <v>2963870427.7399998</v>
      </c>
      <c r="N33" s="93">
        <v>19310817.120000001</v>
      </c>
      <c r="O33" s="93">
        <v>254799868.58000001</v>
      </c>
      <c r="P33" s="93">
        <v>7471705479.1300001</v>
      </c>
      <c r="Q33" s="93">
        <v>221855872.94999999</v>
      </c>
      <c r="R33" s="93">
        <v>14715547390.49</v>
      </c>
      <c r="S33" s="94" t="s">
        <v>344</v>
      </c>
      <c r="T33" s="260"/>
      <c r="U33" s="261"/>
    </row>
    <row r="34" spans="2:21" x14ac:dyDescent="0.35">
      <c r="B34" s="233">
        <v>2022</v>
      </c>
      <c r="C34" s="250" t="s">
        <v>70</v>
      </c>
      <c r="D34" s="88" t="s">
        <v>313</v>
      </c>
      <c r="E34" s="89">
        <v>103.06</v>
      </c>
      <c r="F34" s="89">
        <v>20130.509999999998</v>
      </c>
      <c r="G34" s="89">
        <v>5.74</v>
      </c>
      <c r="H34" s="89">
        <v>114938.5</v>
      </c>
      <c r="I34" s="89">
        <v>4696.5200000000004</v>
      </c>
      <c r="J34" s="89">
        <v>94.42</v>
      </c>
      <c r="K34" s="89">
        <v>4332.25</v>
      </c>
      <c r="L34" s="89">
        <v>2421.7199999999998</v>
      </c>
      <c r="M34" s="89">
        <v>289259.52000000002</v>
      </c>
      <c r="N34" s="89">
        <v>0.9</v>
      </c>
      <c r="O34" s="89">
        <v>15531.38</v>
      </c>
      <c r="P34" s="89">
        <v>93454.85</v>
      </c>
      <c r="Q34" s="89">
        <v>3966.53</v>
      </c>
      <c r="R34" s="89">
        <v>548935.9</v>
      </c>
      <c r="S34" s="88" t="s">
        <v>312</v>
      </c>
      <c r="T34" s="252" t="s">
        <v>86</v>
      </c>
      <c r="U34" s="262">
        <v>2022</v>
      </c>
    </row>
    <row r="35" spans="2:21" x14ac:dyDescent="0.35">
      <c r="B35" s="234"/>
      <c r="C35" s="251"/>
      <c r="D35" s="90" t="s">
        <v>345</v>
      </c>
      <c r="E35" s="91">
        <v>322104.13</v>
      </c>
      <c r="F35" s="91">
        <v>55443079.310000002</v>
      </c>
      <c r="G35" s="91">
        <v>32901.339999999997</v>
      </c>
      <c r="H35" s="91">
        <v>182237740.99000001</v>
      </c>
      <c r="I35" s="91">
        <v>12994390.050000001</v>
      </c>
      <c r="J35" s="91">
        <v>48355.41</v>
      </c>
      <c r="K35" s="91">
        <v>17656547.239999998</v>
      </c>
      <c r="L35" s="91">
        <v>11941002.199999999</v>
      </c>
      <c r="M35" s="91">
        <v>2428373385.0100002</v>
      </c>
      <c r="N35" s="91">
        <v>11130.83</v>
      </c>
      <c r="O35" s="91">
        <v>15216908.48</v>
      </c>
      <c r="P35" s="91">
        <v>411618982.94999999</v>
      </c>
      <c r="Q35" s="91">
        <v>11274087.24</v>
      </c>
      <c r="R35" s="89">
        <v>3147170615.1799998</v>
      </c>
      <c r="S35" s="90" t="s">
        <v>344</v>
      </c>
      <c r="T35" s="253"/>
      <c r="U35" s="263"/>
    </row>
    <row r="36" spans="2:21" x14ac:dyDescent="0.35">
      <c r="B36" s="234"/>
      <c r="C36" s="250" t="s">
        <v>71</v>
      </c>
      <c r="D36" s="88" t="s">
        <v>313</v>
      </c>
      <c r="E36" s="89">
        <v>755.76</v>
      </c>
      <c r="F36" s="89">
        <v>696.51</v>
      </c>
      <c r="G36" s="89">
        <v>1147.21</v>
      </c>
      <c r="H36" s="89">
        <v>164356.98000000001</v>
      </c>
      <c r="I36" s="89">
        <v>3909.15</v>
      </c>
      <c r="J36" s="89">
        <v>11658.42</v>
      </c>
      <c r="K36" s="89">
        <v>1147.3399999999999</v>
      </c>
      <c r="L36" s="89">
        <v>1634.25</v>
      </c>
      <c r="M36" s="89">
        <v>379913.4</v>
      </c>
      <c r="N36" s="89"/>
      <c r="O36" s="89">
        <v>32249.34</v>
      </c>
      <c r="P36" s="89">
        <v>82606.86</v>
      </c>
      <c r="Q36" s="89">
        <v>8964.5300000000007</v>
      </c>
      <c r="R36" s="89">
        <v>689039.74</v>
      </c>
      <c r="S36" s="88" t="s">
        <v>312</v>
      </c>
      <c r="T36" s="252" t="s">
        <v>87</v>
      </c>
      <c r="U36" s="263"/>
    </row>
    <row r="37" spans="2:21" x14ac:dyDescent="0.35">
      <c r="B37" s="234"/>
      <c r="C37" s="251"/>
      <c r="D37" s="90" t="s">
        <v>345</v>
      </c>
      <c r="E37" s="91">
        <v>3131190.42</v>
      </c>
      <c r="F37" s="91">
        <v>1354765.83</v>
      </c>
      <c r="G37" s="91">
        <v>7385539.6900000004</v>
      </c>
      <c r="H37" s="91">
        <v>736742018.08000004</v>
      </c>
      <c r="I37" s="91">
        <v>16318672.24</v>
      </c>
      <c r="J37" s="91">
        <v>38265038.479999997</v>
      </c>
      <c r="K37" s="91">
        <v>8127462.2300000004</v>
      </c>
      <c r="L37" s="91">
        <v>9474551.6300000008</v>
      </c>
      <c r="M37" s="91">
        <v>3326347926.1700001</v>
      </c>
      <c r="N37" s="91"/>
      <c r="O37" s="91">
        <v>15480505.560000001</v>
      </c>
      <c r="P37" s="91">
        <v>599345216.13999999</v>
      </c>
      <c r="Q37" s="91">
        <v>16102980.6</v>
      </c>
      <c r="R37" s="89">
        <v>4778075867.0600004</v>
      </c>
      <c r="S37" s="90" t="s">
        <v>344</v>
      </c>
      <c r="T37" s="253"/>
      <c r="U37" s="263"/>
    </row>
    <row r="38" spans="2:21" x14ac:dyDescent="0.35">
      <c r="B38" s="234"/>
      <c r="C38" s="250" t="s">
        <v>72</v>
      </c>
      <c r="D38" s="88" t="s">
        <v>313</v>
      </c>
      <c r="E38" s="89">
        <v>134.80000000000001</v>
      </c>
      <c r="F38" s="89">
        <v>3571.51</v>
      </c>
      <c r="G38" s="89">
        <v>2510.4299999999998</v>
      </c>
      <c r="H38" s="89">
        <v>325302.65999999997</v>
      </c>
      <c r="I38" s="89">
        <v>3913.36</v>
      </c>
      <c r="J38" s="89">
        <v>17342.689999999999</v>
      </c>
      <c r="K38" s="89">
        <v>1977.01</v>
      </c>
      <c r="L38" s="89">
        <v>4150.3599999999997</v>
      </c>
      <c r="M38" s="89">
        <v>641173.51</v>
      </c>
      <c r="N38" s="89">
        <v>9.9600000000000009</v>
      </c>
      <c r="O38" s="89">
        <v>62314.98</v>
      </c>
      <c r="P38" s="89">
        <v>154669.43</v>
      </c>
      <c r="Q38" s="89">
        <v>43</v>
      </c>
      <c r="R38" s="89">
        <v>1217113.7</v>
      </c>
      <c r="S38" s="88" t="s">
        <v>312</v>
      </c>
      <c r="T38" s="252" t="s">
        <v>88</v>
      </c>
      <c r="U38" s="263"/>
    </row>
    <row r="39" spans="2:21" x14ac:dyDescent="0.35">
      <c r="B39" s="234"/>
      <c r="C39" s="251"/>
      <c r="D39" s="90" t="s">
        <v>345</v>
      </c>
      <c r="E39" s="91">
        <v>116731.53</v>
      </c>
      <c r="F39" s="91">
        <v>4935296.1900000004</v>
      </c>
      <c r="G39" s="91">
        <v>7911598.3499999996</v>
      </c>
      <c r="H39" s="91">
        <v>985499208.85000002</v>
      </c>
      <c r="I39" s="91">
        <v>10396949.68</v>
      </c>
      <c r="J39" s="91">
        <v>113758393.52</v>
      </c>
      <c r="K39" s="91">
        <v>7570094.5199999996</v>
      </c>
      <c r="L39" s="91">
        <v>44522398.409999996</v>
      </c>
      <c r="M39" s="91">
        <v>5415793320.2799997</v>
      </c>
      <c r="N39" s="91">
        <v>32185.4</v>
      </c>
      <c r="O39" s="91">
        <v>28577119.559999999</v>
      </c>
      <c r="P39" s="91">
        <v>1089204787.02</v>
      </c>
      <c r="Q39" s="91">
        <v>129149.36</v>
      </c>
      <c r="R39" s="89">
        <v>7708447232.6700001</v>
      </c>
      <c r="S39" s="90" t="s">
        <v>344</v>
      </c>
      <c r="T39" s="253"/>
      <c r="U39" s="263"/>
    </row>
    <row r="40" spans="2:21" x14ac:dyDescent="0.35">
      <c r="B40" s="234"/>
      <c r="C40" s="250" t="s">
        <v>73</v>
      </c>
      <c r="D40" s="88" t="s">
        <v>313</v>
      </c>
      <c r="E40" s="89">
        <v>365.01</v>
      </c>
      <c r="F40" s="89">
        <v>2411.27</v>
      </c>
      <c r="G40" s="89">
        <v>13.56</v>
      </c>
      <c r="H40" s="89">
        <v>293341.05</v>
      </c>
      <c r="I40" s="89">
        <v>5415.26</v>
      </c>
      <c r="J40" s="89"/>
      <c r="K40" s="89">
        <v>6255.03</v>
      </c>
      <c r="L40" s="89">
        <v>1166.99</v>
      </c>
      <c r="M40" s="89">
        <v>1098706.99</v>
      </c>
      <c r="N40" s="89"/>
      <c r="O40" s="89">
        <v>60261.93</v>
      </c>
      <c r="P40" s="89">
        <v>136941.37</v>
      </c>
      <c r="Q40" s="89">
        <v>7608.44</v>
      </c>
      <c r="R40" s="89">
        <v>1612486.89</v>
      </c>
      <c r="S40" s="88" t="s">
        <v>312</v>
      </c>
      <c r="T40" s="252" t="s">
        <v>89</v>
      </c>
      <c r="U40" s="263"/>
    </row>
    <row r="41" spans="2:21" x14ac:dyDescent="0.35">
      <c r="B41" s="234"/>
      <c r="C41" s="251"/>
      <c r="D41" s="90" t="s">
        <v>345</v>
      </c>
      <c r="E41" s="91">
        <v>229958.15</v>
      </c>
      <c r="F41" s="91">
        <v>3147786.31</v>
      </c>
      <c r="G41" s="91">
        <v>75451.31</v>
      </c>
      <c r="H41" s="91">
        <v>784164205.63</v>
      </c>
      <c r="I41" s="91">
        <v>25627245.120000001</v>
      </c>
      <c r="J41" s="91"/>
      <c r="K41" s="91">
        <v>12910471.93</v>
      </c>
      <c r="L41" s="91">
        <v>2365347.12</v>
      </c>
      <c r="M41" s="91">
        <v>10245536046.110001</v>
      </c>
      <c r="N41" s="91"/>
      <c r="O41" s="91">
        <v>43681012.07</v>
      </c>
      <c r="P41" s="91">
        <v>1083675280.78</v>
      </c>
      <c r="Q41" s="91">
        <v>12895922.449999999</v>
      </c>
      <c r="R41" s="89">
        <v>12214308726.969999</v>
      </c>
      <c r="S41" s="90" t="s">
        <v>344</v>
      </c>
      <c r="T41" s="253"/>
      <c r="U41" s="263"/>
    </row>
    <row r="42" spans="2:21" x14ac:dyDescent="0.35">
      <c r="B42" s="234"/>
      <c r="C42" s="250" t="s">
        <v>74</v>
      </c>
      <c r="D42" s="88" t="s">
        <v>313</v>
      </c>
      <c r="E42" s="89"/>
      <c r="F42" s="89">
        <v>4717.04</v>
      </c>
      <c r="G42" s="89">
        <v>146.80000000000001</v>
      </c>
      <c r="H42" s="89">
        <v>350595.81</v>
      </c>
      <c r="I42" s="89">
        <v>6081.17</v>
      </c>
      <c r="J42" s="89">
        <v>362.21</v>
      </c>
      <c r="K42" s="89">
        <v>2166.17</v>
      </c>
      <c r="L42" s="89">
        <v>1307.8599999999999</v>
      </c>
      <c r="M42" s="89">
        <v>538300.89</v>
      </c>
      <c r="N42" s="89">
        <v>0.73</v>
      </c>
      <c r="O42" s="89">
        <v>57909.24</v>
      </c>
      <c r="P42" s="89">
        <v>124310.79</v>
      </c>
      <c r="Q42" s="89">
        <v>18472.14</v>
      </c>
      <c r="R42" s="89">
        <v>1104370.8500000001</v>
      </c>
      <c r="S42" s="88" t="s">
        <v>312</v>
      </c>
      <c r="T42" s="252" t="s">
        <v>90</v>
      </c>
      <c r="U42" s="263"/>
    </row>
    <row r="43" spans="2:21" x14ac:dyDescent="0.35">
      <c r="B43" s="234"/>
      <c r="C43" s="251"/>
      <c r="D43" s="90" t="s">
        <v>345</v>
      </c>
      <c r="E43" s="91"/>
      <c r="F43" s="91">
        <v>10774582.529999999</v>
      </c>
      <c r="G43" s="91">
        <v>367371.43</v>
      </c>
      <c r="H43" s="91">
        <v>984491191.05999994</v>
      </c>
      <c r="I43" s="91">
        <v>20411702.800000001</v>
      </c>
      <c r="J43" s="91">
        <v>338060.21</v>
      </c>
      <c r="K43" s="91">
        <v>9195630.1999999993</v>
      </c>
      <c r="L43" s="91">
        <v>4399947.08</v>
      </c>
      <c r="M43" s="91">
        <v>3860676621.8099999</v>
      </c>
      <c r="N43" s="91">
        <v>2339.83</v>
      </c>
      <c r="O43" s="91">
        <v>40992992.799999997</v>
      </c>
      <c r="P43" s="91">
        <v>877798578.16999996</v>
      </c>
      <c r="Q43" s="91">
        <v>43286525.530000001</v>
      </c>
      <c r="R43" s="89">
        <v>5852735543.4499998</v>
      </c>
      <c r="S43" s="90" t="s">
        <v>344</v>
      </c>
      <c r="T43" s="253"/>
      <c r="U43" s="263"/>
    </row>
    <row r="44" spans="2:21" x14ac:dyDescent="0.35">
      <c r="B44" s="234"/>
      <c r="C44" s="250" t="s">
        <v>75</v>
      </c>
      <c r="D44" s="88" t="s">
        <v>313</v>
      </c>
      <c r="E44" s="89">
        <v>539.57000000000005</v>
      </c>
      <c r="F44" s="89">
        <v>4581.58</v>
      </c>
      <c r="G44" s="89">
        <v>2201.5100000000002</v>
      </c>
      <c r="H44" s="89">
        <v>313284.5</v>
      </c>
      <c r="I44" s="89">
        <v>9863.9</v>
      </c>
      <c r="J44" s="89">
        <v>1731.33</v>
      </c>
      <c r="K44" s="89">
        <v>9931.2099999999991</v>
      </c>
      <c r="L44" s="89">
        <v>2931.98</v>
      </c>
      <c r="M44" s="89">
        <v>242414.41</v>
      </c>
      <c r="N44" s="89">
        <v>404.68</v>
      </c>
      <c r="O44" s="89">
        <v>68086.61</v>
      </c>
      <c r="P44" s="89">
        <v>201033.03</v>
      </c>
      <c r="Q44" s="89">
        <v>10211.9</v>
      </c>
      <c r="R44" s="89">
        <v>867216.2</v>
      </c>
      <c r="S44" s="88" t="s">
        <v>312</v>
      </c>
      <c r="T44" s="252" t="s">
        <v>91</v>
      </c>
      <c r="U44" s="263"/>
    </row>
    <row r="45" spans="2:21" x14ac:dyDescent="0.35">
      <c r="B45" s="234"/>
      <c r="C45" s="251"/>
      <c r="D45" s="90" t="s">
        <v>345</v>
      </c>
      <c r="E45" s="91">
        <v>134892.78</v>
      </c>
      <c r="F45" s="91">
        <v>12717696.26</v>
      </c>
      <c r="G45" s="91">
        <v>5891529.4800000004</v>
      </c>
      <c r="H45" s="91">
        <v>685836808.88999999</v>
      </c>
      <c r="I45" s="91">
        <v>19190930.690000001</v>
      </c>
      <c r="J45" s="91">
        <v>7168458.6500000004</v>
      </c>
      <c r="K45" s="91">
        <v>14831498.050000001</v>
      </c>
      <c r="L45" s="91">
        <v>16161005.5</v>
      </c>
      <c r="M45" s="91">
        <v>1739240533.1600001</v>
      </c>
      <c r="N45" s="91">
        <v>158390.23000000001</v>
      </c>
      <c r="O45" s="91">
        <v>60413311.969999999</v>
      </c>
      <c r="P45" s="91">
        <v>1136804663.0899999</v>
      </c>
      <c r="Q45" s="91">
        <v>19121353.41</v>
      </c>
      <c r="R45" s="89">
        <v>3717671072.1599998</v>
      </c>
      <c r="S45" s="90" t="s">
        <v>344</v>
      </c>
      <c r="T45" s="253"/>
      <c r="U45" s="263"/>
    </row>
    <row r="46" spans="2:21" x14ac:dyDescent="0.35">
      <c r="B46" s="234"/>
      <c r="C46" s="250" t="s">
        <v>76</v>
      </c>
      <c r="D46" s="88" t="s">
        <v>313</v>
      </c>
      <c r="E46" s="89">
        <v>1558.75</v>
      </c>
      <c r="F46" s="89">
        <v>1370.15</v>
      </c>
      <c r="G46" s="89">
        <v>1612.15</v>
      </c>
      <c r="H46" s="89">
        <v>426450.3</v>
      </c>
      <c r="I46" s="89">
        <v>4910.2299999999996</v>
      </c>
      <c r="J46" s="89">
        <v>21.57</v>
      </c>
      <c r="K46" s="89">
        <v>5382.4</v>
      </c>
      <c r="L46" s="89">
        <v>3789.7</v>
      </c>
      <c r="M46" s="89">
        <v>986357.72</v>
      </c>
      <c r="N46" s="89">
        <v>476.73</v>
      </c>
      <c r="O46" s="89">
        <v>129254.22</v>
      </c>
      <c r="P46" s="89">
        <v>200478.85</v>
      </c>
      <c r="Q46" s="89">
        <v>3963.46</v>
      </c>
      <c r="R46" s="89">
        <v>1765626.25</v>
      </c>
      <c r="S46" s="88" t="s">
        <v>312</v>
      </c>
      <c r="T46" s="252" t="s">
        <v>92</v>
      </c>
      <c r="U46" s="263"/>
    </row>
    <row r="47" spans="2:21" x14ac:dyDescent="0.35">
      <c r="B47" s="234"/>
      <c r="C47" s="251"/>
      <c r="D47" s="90" t="s">
        <v>345</v>
      </c>
      <c r="E47" s="91">
        <v>389688.64</v>
      </c>
      <c r="F47" s="91">
        <v>2150382.83</v>
      </c>
      <c r="G47" s="91">
        <v>4807643.57</v>
      </c>
      <c r="H47" s="91">
        <v>658423122.02999997</v>
      </c>
      <c r="I47" s="91">
        <v>3605816.88</v>
      </c>
      <c r="J47" s="91">
        <v>67365.97</v>
      </c>
      <c r="K47" s="91">
        <v>6064372.0899999999</v>
      </c>
      <c r="L47" s="91">
        <v>23228246.18</v>
      </c>
      <c r="M47" s="91">
        <v>14439807798.92</v>
      </c>
      <c r="N47" s="91">
        <v>572081.57999999996</v>
      </c>
      <c r="O47" s="91">
        <v>93227351.719999999</v>
      </c>
      <c r="P47" s="91">
        <v>565471381.16999996</v>
      </c>
      <c r="Q47" s="91">
        <v>8239418.4800000004</v>
      </c>
      <c r="R47" s="89">
        <v>15806054670.07</v>
      </c>
      <c r="S47" s="90" t="s">
        <v>344</v>
      </c>
      <c r="T47" s="253"/>
      <c r="U47" s="263"/>
    </row>
    <row r="48" spans="2:21" x14ac:dyDescent="0.35">
      <c r="B48" s="234"/>
      <c r="C48" s="250" t="s">
        <v>77</v>
      </c>
      <c r="D48" s="88" t="s">
        <v>313</v>
      </c>
      <c r="E48" s="89">
        <v>294.20999999999998</v>
      </c>
      <c r="F48" s="89">
        <v>7489.64</v>
      </c>
      <c r="G48" s="89">
        <v>6626.75</v>
      </c>
      <c r="H48" s="89">
        <v>361786.62</v>
      </c>
      <c r="I48" s="89">
        <v>3394.66</v>
      </c>
      <c r="J48" s="89"/>
      <c r="K48" s="89">
        <v>171.18</v>
      </c>
      <c r="L48" s="89">
        <v>3700.07</v>
      </c>
      <c r="M48" s="89">
        <v>681347.3</v>
      </c>
      <c r="N48" s="89">
        <v>757.65</v>
      </c>
      <c r="O48" s="89">
        <v>116929.55</v>
      </c>
      <c r="P48" s="89">
        <v>128074.88</v>
      </c>
      <c r="Q48" s="89"/>
      <c r="R48" s="89">
        <v>1310572.52</v>
      </c>
      <c r="S48" s="88" t="s">
        <v>312</v>
      </c>
      <c r="T48" s="252" t="s">
        <v>93</v>
      </c>
      <c r="U48" s="263"/>
    </row>
    <row r="49" spans="2:21" x14ac:dyDescent="0.35">
      <c r="B49" s="234"/>
      <c r="C49" s="251"/>
      <c r="D49" s="90" t="s">
        <v>345</v>
      </c>
      <c r="E49" s="91">
        <v>3137823.3</v>
      </c>
      <c r="F49" s="91">
        <v>33740238.140000001</v>
      </c>
      <c r="G49" s="91">
        <v>22577067.370000001</v>
      </c>
      <c r="H49" s="91">
        <v>715189401.15999997</v>
      </c>
      <c r="I49" s="91">
        <v>10746921.99</v>
      </c>
      <c r="J49" s="91"/>
      <c r="K49" s="91">
        <v>480246.12</v>
      </c>
      <c r="L49" s="91">
        <v>11792962.800000001</v>
      </c>
      <c r="M49" s="91">
        <v>6254224858.7399998</v>
      </c>
      <c r="N49" s="91">
        <v>1403199.03</v>
      </c>
      <c r="O49" s="91">
        <v>84644697.430000007</v>
      </c>
      <c r="P49" s="91">
        <v>729855015.13999999</v>
      </c>
      <c r="Q49" s="91"/>
      <c r="R49" s="89">
        <v>7867792431.21</v>
      </c>
      <c r="S49" s="90" t="s">
        <v>344</v>
      </c>
      <c r="T49" s="253"/>
      <c r="U49" s="263"/>
    </row>
    <row r="50" spans="2:21" x14ac:dyDescent="0.35">
      <c r="B50" s="234"/>
      <c r="C50" s="250" t="s">
        <v>78</v>
      </c>
      <c r="D50" s="88" t="s">
        <v>313</v>
      </c>
      <c r="E50" s="89">
        <v>274.25</v>
      </c>
      <c r="F50" s="89">
        <v>5201.67</v>
      </c>
      <c r="G50" s="89">
        <v>2297.69</v>
      </c>
      <c r="H50" s="89">
        <v>344460.3</v>
      </c>
      <c r="I50" s="89">
        <v>5393.18</v>
      </c>
      <c r="J50" s="89">
        <v>66.78</v>
      </c>
      <c r="K50" s="89">
        <v>6264.88</v>
      </c>
      <c r="L50" s="89">
        <v>4613.1899999999996</v>
      </c>
      <c r="M50" s="89">
        <v>931620.82</v>
      </c>
      <c r="N50" s="89">
        <v>1264.24</v>
      </c>
      <c r="O50" s="89">
        <v>39063.61</v>
      </c>
      <c r="P50" s="89">
        <v>181414.45</v>
      </c>
      <c r="Q50" s="89">
        <v>17042.240000000002</v>
      </c>
      <c r="R50" s="89">
        <v>1538977.29</v>
      </c>
      <c r="S50" s="88" t="s">
        <v>312</v>
      </c>
      <c r="T50" s="252" t="s">
        <v>94</v>
      </c>
      <c r="U50" s="263"/>
    </row>
    <row r="51" spans="2:21" x14ac:dyDescent="0.35">
      <c r="B51" s="234"/>
      <c r="C51" s="251"/>
      <c r="D51" s="90" t="s">
        <v>345</v>
      </c>
      <c r="E51" s="91">
        <v>736353.91</v>
      </c>
      <c r="F51" s="91">
        <v>5401996.3899999997</v>
      </c>
      <c r="G51" s="91">
        <v>9117502.3499999996</v>
      </c>
      <c r="H51" s="91">
        <v>638290507.5</v>
      </c>
      <c r="I51" s="91">
        <v>20237467.940000001</v>
      </c>
      <c r="J51" s="91">
        <v>344799.14</v>
      </c>
      <c r="K51" s="91">
        <v>51334078.219999999</v>
      </c>
      <c r="L51" s="91">
        <v>8870845.8200000003</v>
      </c>
      <c r="M51" s="91">
        <v>5902476081.8199997</v>
      </c>
      <c r="N51" s="91">
        <v>5056963</v>
      </c>
      <c r="O51" s="91">
        <v>24464932.960000001</v>
      </c>
      <c r="P51" s="91">
        <v>899513733.83000004</v>
      </c>
      <c r="Q51" s="91">
        <v>152310391.38</v>
      </c>
      <c r="R51" s="89">
        <v>7718155654.2600002</v>
      </c>
      <c r="S51" s="90" t="s">
        <v>344</v>
      </c>
      <c r="T51" s="253"/>
      <c r="U51" s="263"/>
    </row>
    <row r="52" spans="2:21" x14ac:dyDescent="0.35">
      <c r="B52" s="234"/>
      <c r="C52" s="250" t="s">
        <v>79</v>
      </c>
      <c r="D52" s="88" t="s">
        <v>313</v>
      </c>
      <c r="E52" s="89">
        <v>18.55</v>
      </c>
      <c r="F52" s="89">
        <v>9854.19</v>
      </c>
      <c r="G52" s="89">
        <v>3245.5</v>
      </c>
      <c r="H52" s="89">
        <v>409396.04</v>
      </c>
      <c r="I52" s="89">
        <v>6630.16</v>
      </c>
      <c r="J52" s="89">
        <v>552.4</v>
      </c>
      <c r="K52" s="89">
        <v>8311.9</v>
      </c>
      <c r="L52" s="89">
        <v>7899.15</v>
      </c>
      <c r="M52" s="89">
        <v>1099914.95</v>
      </c>
      <c r="N52" s="89">
        <v>483.46</v>
      </c>
      <c r="O52" s="89">
        <v>6599.33</v>
      </c>
      <c r="P52" s="89">
        <v>191579.9</v>
      </c>
      <c r="Q52" s="89">
        <v>8288.34</v>
      </c>
      <c r="R52" s="89">
        <v>1752773.87</v>
      </c>
      <c r="S52" s="88" t="s">
        <v>312</v>
      </c>
      <c r="T52" s="252" t="s">
        <v>95</v>
      </c>
      <c r="U52" s="263"/>
    </row>
    <row r="53" spans="2:21" x14ac:dyDescent="0.35">
      <c r="B53" s="234"/>
      <c r="C53" s="251"/>
      <c r="D53" s="90" t="s">
        <v>345</v>
      </c>
      <c r="E53" s="91">
        <v>280962.96999999997</v>
      </c>
      <c r="F53" s="91">
        <v>46582557.68</v>
      </c>
      <c r="G53" s="91">
        <v>11937027.619999999</v>
      </c>
      <c r="H53" s="91">
        <v>1049433050.0700001</v>
      </c>
      <c r="I53" s="91">
        <v>19097687.5</v>
      </c>
      <c r="J53" s="91">
        <v>1356175.33</v>
      </c>
      <c r="K53" s="91">
        <v>27898317.780000001</v>
      </c>
      <c r="L53" s="91">
        <v>27647365.18</v>
      </c>
      <c r="M53" s="91">
        <v>6429279994.1400003</v>
      </c>
      <c r="N53" s="91">
        <v>1534015.44</v>
      </c>
      <c r="O53" s="91">
        <v>14651816.18</v>
      </c>
      <c r="P53" s="91">
        <v>1235503723.78</v>
      </c>
      <c r="Q53" s="91">
        <v>20518256.539999999</v>
      </c>
      <c r="R53" s="89">
        <v>8885720950.2199993</v>
      </c>
      <c r="S53" s="90" t="s">
        <v>344</v>
      </c>
      <c r="T53" s="253"/>
      <c r="U53" s="263"/>
    </row>
    <row r="54" spans="2:21" x14ac:dyDescent="0.35">
      <c r="B54" s="234"/>
      <c r="C54" s="250" t="s">
        <v>80</v>
      </c>
      <c r="D54" s="88" t="s">
        <v>313</v>
      </c>
      <c r="E54" s="89">
        <v>123.15</v>
      </c>
      <c r="F54" s="89">
        <v>21114.77</v>
      </c>
      <c r="G54" s="89">
        <v>9987</v>
      </c>
      <c r="H54" s="89">
        <v>395480.67</v>
      </c>
      <c r="I54" s="89">
        <v>17615.72</v>
      </c>
      <c r="J54" s="89">
        <v>3202.78</v>
      </c>
      <c r="K54" s="89">
        <v>6482.72</v>
      </c>
      <c r="L54" s="89">
        <v>15927.61</v>
      </c>
      <c r="M54" s="89">
        <v>1176628.68</v>
      </c>
      <c r="N54" s="89">
        <v>611.33000000000004</v>
      </c>
      <c r="O54" s="89">
        <v>9988.6299999999992</v>
      </c>
      <c r="P54" s="89">
        <v>177704.34</v>
      </c>
      <c r="Q54" s="89">
        <v>5153.67</v>
      </c>
      <c r="R54" s="89">
        <v>1840021.08</v>
      </c>
      <c r="S54" s="88" t="s">
        <v>312</v>
      </c>
      <c r="T54" s="252" t="s">
        <v>96</v>
      </c>
      <c r="U54" s="263"/>
    </row>
    <row r="55" spans="2:21" x14ac:dyDescent="0.35">
      <c r="B55" s="234"/>
      <c r="C55" s="251"/>
      <c r="D55" s="90" t="s">
        <v>345</v>
      </c>
      <c r="E55" s="91">
        <v>407923.75</v>
      </c>
      <c r="F55" s="91">
        <v>97284557.969999999</v>
      </c>
      <c r="G55" s="91">
        <v>35282006.960000001</v>
      </c>
      <c r="H55" s="91">
        <v>976515211.12</v>
      </c>
      <c r="I55" s="91">
        <v>99401543.040000007</v>
      </c>
      <c r="J55" s="91">
        <v>11195558.84</v>
      </c>
      <c r="K55" s="91">
        <v>14751201.939999999</v>
      </c>
      <c r="L55" s="91">
        <v>93879246.829999998</v>
      </c>
      <c r="M55" s="91">
        <v>6017340115.3599997</v>
      </c>
      <c r="N55" s="91">
        <v>1630218.43</v>
      </c>
      <c r="O55" s="91">
        <v>12780747</v>
      </c>
      <c r="P55" s="91">
        <v>1165437960.54</v>
      </c>
      <c r="Q55" s="91">
        <v>13019982.09</v>
      </c>
      <c r="R55" s="89">
        <v>8538926273.8800001</v>
      </c>
      <c r="S55" s="90" t="s">
        <v>344</v>
      </c>
      <c r="T55" s="253"/>
      <c r="U55" s="263"/>
    </row>
    <row r="56" spans="2:21" x14ac:dyDescent="0.35">
      <c r="B56" s="234"/>
      <c r="C56" s="250" t="s">
        <v>81</v>
      </c>
      <c r="D56" s="88" t="s">
        <v>313</v>
      </c>
      <c r="E56" s="89"/>
      <c r="F56" s="89">
        <v>120754.13</v>
      </c>
      <c r="G56" s="89">
        <v>44267.34</v>
      </c>
      <c r="H56" s="89">
        <v>498933.27</v>
      </c>
      <c r="I56" s="89">
        <v>63998.51</v>
      </c>
      <c r="J56" s="89">
        <v>458.33</v>
      </c>
      <c r="K56" s="89">
        <v>1.96</v>
      </c>
      <c r="L56" s="89">
        <v>71319.97</v>
      </c>
      <c r="M56" s="89">
        <v>1346654.34</v>
      </c>
      <c r="N56" s="89">
        <v>3128.39</v>
      </c>
      <c r="O56" s="89">
        <v>294.42</v>
      </c>
      <c r="P56" s="89">
        <v>238362.61</v>
      </c>
      <c r="Q56" s="89">
        <v>2553.0100000000002</v>
      </c>
      <c r="R56" s="89">
        <v>2390726.29</v>
      </c>
      <c r="S56" s="88" t="s">
        <v>312</v>
      </c>
      <c r="T56" s="252" t="s">
        <v>97</v>
      </c>
      <c r="U56" s="263"/>
    </row>
    <row r="57" spans="2:21" x14ac:dyDescent="0.35">
      <c r="B57" s="235"/>
      <c r="C57" s="251"/>
      <c r="D57" s="90" t="s">
        <v>345</v>
      </c>
      <c r="E57" s="91"/>
      <c r="F57" s="91">
        <v>362940662.45999998</v>
      </c>
      <c r="G57" s="91">
        <v>255203903.03</v>
      </c>
      <c r="H57" s="91">
        <v>763182477.02999997</v>
      </c>
      <c r="I57" s="91">
        <v>120394584.51000001</v>
      </c>
      <c r="J57" s="91">
        <v>2353244.33</v>
      </c>
      <c r="K57" s="91">
        <v>3827.28</v>
      </c>
      <c r="L57" s="91">
        <v>407624341.88</v>
      </c>
      <c r="M57" s="91">
        <v>8386311683.5799999</v>
      </c>
      <c r="N57" s="91">
        <v>10812860.800000001</v>
      </c>
      <c r="O57" s="91">
        <v>713141.99</v>
      </c>
      <c r="P57" s="91">
        <v>1741035881.8699999</v>
      </c>
      <c r="Q57" s="91">
        <v>8949569.2599999998</v>
      </c>
      <c r="R57" s="91">
        <v>12059526178.01</v>
      </c>
      <c r="S57" s="90" t="s">
        <v>344</v>
      </c>
      <c r="T57" s="253"/>
      <c r="U57" s="264"/>
    </row>
    <row r="58" spans="2:21" x14ac:dyDescent="0.35">
      <c r="B58" s="254" t="s">
        <v>82</v>
      </c>
      <c r="C58" s="255"/>
      <c r="D58" s="92" t="s">
        <v>313</v>
      </c>
      <c r="E58" s="93">
        <v>4167.1099999999997</v>
      </c>
      <c r="F58" s="93">
        <v>201892.97</v>
      </c>
      <c r="G58" s="93">
        <v>74061.679999999993</v>
      </c>
      <c r="H58" s="93">
        <v>3998326.71</v>
      </c>
      <c r="I58" s="93">
        <v>135821.81</v>
      </c>
      <c r="J58" s="93">
        <v>35490.93</v>
      </c>
      <c r="K58" s="93">
        <v>52424.04</v>
      </c>
      <c r="L58" s="93">
        <v>120862.85</v>
      </c>
      <c r="M58" s="93">
        <v>9412292.5500000007</v>
      </c>
      <c r="N58" s="93">
        <v>7138.08</v>
      </c>
      <c r="O58" s="93">
        <v>598483.23</v>
      </c>
      <c r="P58" s="93">
        <v>1910631.37</v>
      </c>
      <c r="Q58" s="93">
        <v>86267.25</v>
      </c>
      <c r="R58" s="93">
        <v>16637860.58</v>
      </c>
      <c r="S58" s="92" t="s">
        <v>312</v>
      </c>
      <c r="T58" s="258" t="s">
        <v>98</v>
      </c>
      <c r="U58" s="259"/>
    </row>
    <row r="59" spans="2:21" x14ac:dyDescent="0.35">
      <c r="B59" s="256"/>
      <c r="C59" s="257"/>
      <c r="D59" s="94" t="s">
        <v>345</v>
      </c>
      <c r="E59" s="93">
        <v>8887629.5899999999</v>
      </c>
      <c r="F59" s="93">
        <v>636473601.90999997</v>
      </c>
      <c r="G59" s="93">
        <v>360589542.5</v>
      </c>
      <c r="H59" s="93">
        <v>9160004942.4200001</v>
      </c>
      <c r="I59" s="93">
        <v>378423912.44</v>
      </c>
      <c r="J59" s="93">
        <v>174895449.88</v>
      </c>
      <c r="K59" s="93">
        <v>170823747.59</v>
      </c>
      <c r="L59" s="93">
        <v>661907260.62</v>
      </c>
      <c r="M59" s="93">
        <v>74445408365.100006</v>
      </c>
      <c r="N59" s="93">
        <v>21213384.559999999</v>
      </c>
      <c r="O59" s="93">
        <v>434844537.73000002</v>
      </c>
      <c r="P59" s="93">
        <v>11535265204.49</v>
      </c>
      <c r="Q59" s="93">
        <v>305847636.32999998</v>
      </c>
      <c r="R59" s="93">
        <v>98294585215.139999</v>
      </c>
      <c r="S59" s="94" t="s">
        <v>344</v>
      </c>
      <c r="T59" s="260"/>
      <c r="U59" s="261"/>
    </row>
    <row r="60" spans="2:21" x14ac:dyDescent="0.35">
      <c r="B60" s="233">
        <v>2023</v>
      </c>
      <c r="C60" s="250" t="s">
        <v>70</v>
      </c>
      <c r="D60" s="88" t="s">
        <v>313</v>
      </c>
      <c r="E60" s="89">
        <v>340</v>
      </c>
      <c r="F60" s="89">
        <v>9200</v>
      </c>
      <c r="G60" s="89">
        <v>12528</v>
      </c>
      <c r="H60" s="89">
        <v>632931</v>
      </c>
      <c r="I60" s="89">
        <v>28913</v>
      </c>
      <c r="J60" s="89">
        <v>2523</v>
      </c>
      <c r="K60" s="89">
        <v>16537</v>
      </c>
      <c r="L60" s="89">
        <v>21751</v>
      </c>
      <c r="M60" s="89">
        <v>1438682</v>
      </c>
      <c r="N60" s="89">
        <v>3154</v>
      </c>
      <c r="O60" s="89">
        <v>31059</v>
      </c>
      <c r="P60" s="89">
        <v>277064</v>
      </c>
      <c r="Q60" s="89">
        <v>7187</v>
      </c>
      <c r="R60" s="89">
        <v>2481869</v>
      </c>
      <c r="S60" s="88" t="s">
        <v>312</v>
      </c>
      <c r="T60" s="252" t="s">
        <v>86</v>
      </c>
      <c r="U60" s="262">
        <v>2023</v>
      </c>
    </row>
    <row r="61" spans="2:21" x14ac:dyDescent="0.35">
      <c r="B61" s="234"/>
      <c r="C61" s="251"/>
      <c r="D61" s="90" t="s">
        <v>345</v>
      </c>
      <c r="E61" s="91">
        <v>1478175.45</v>
      </c>
      <c r="F61" s="91">
        <v>21402043.899999999</v>
      </c>
      <c r="G61" s="91">
        <v>71216272.349999994</v>
      </c>
      <c r="H61" s="91">
        <v>1338169462.4300001</v>
      </c>
      <c r="I61" s="91">
        <v>80905150.879999995</v>
      </c>
      <c r="J61" s="91">
        <v>6559334.5599999996</v>
      </c>
      <c r="K61" s="91">
        <v>52509480.649999999</v>
      </c>
      <c r="L61" s="91">
        <v>72132624.459999993</v>
      </c>
      <c r="M61" s="91">
        <v>7554454966.8599997</v>
      </c>
      <c r="N61" s="91">
        <v>8972559.5600000005</v>
      </c>
      <c r="O61" s="91">
        <v>57086318.890000001</v>
      </c>
      <c r="P61" s="91">
        <v>1288712270.6199999</v>
      </c>
      <c r="Q61" s="91">
        <v>18576638.440000001</v>
      </c>
      <c r="R61" s="89">
        <v>10572175299.049999</v>
      </c>
      <c r="S61" s="90" t="s">
        <v>344</v>
      </c>
      <c r="T61" s="253"/>
      <c r="U61" s="263"/>
    </row>
    <row r="62" spans="2:21" x14ac:dyDescent="0.35">
      <c r="B62" s="234"/>
      <c r="C62" s="250" t="s">
        <v>71</v>
      </c>
      <c r="D62" s="88" t="s">
        <v>313</v>
      </c>
      <c r="E62" s="89"/>
      <c r="F62" s="89">
        <v>9589</v>
      </c>
      <c r="G62" s="89">
        <v>12560</v>
      </c>
      <c r="H62" s="89">
        <v>492589</v>
      </c>
      <c r="I62" s="89">
        <v>27920</v>
      </c>
      <c r="J62" s="89">
        <v>4242</v>
      </c>
      <c r="K62" s="89">
        <v>10028</v>
      </c>
      <c r="L62" s="89">
        <v>29462</v>
      </c>
      <c r="M62" s="89">
        <v>1535632</v>
      </c>
      <c r="N62" s="89">
        <v>104</v>
      </c>
      <c r="O62" s="89">
        <v>23316</v>
      </c>
      <c r="P62" s="89">
        <v>298581</v>
      </c>
      <c r="Q62" s="89">
        <v>11754</v>
      </c>
      <c r="R62" s="89">
        <v>2455777</v>
      </c>
      <c r="S62" s="88" t="s">
        <v>312</v>
      </c>
      <c r="T62" s="252" t="s">
        <v>87</v>
      </c>
      <c r="U62" s="263"/>
    </row>
    <row r="63" spans="2:21" x14ac:dyDescent="0.35">
      <c r="B63" s="234"/>
      <c r="C63" s="251"/>
      <c r="D63" s="90" t="s">
        <v>345</v>
      </c>
      <c r="E63" s="91"/>
      <c r="F63" s="91">
        <v>29720193.68</v>
      </c>
      <c r="G63" s="91">
        <v>57789652.329999998</v>
      </c>
      <c r="H63" s="91">
        <v>1128397353.5599999</v>
      </c>
      <c r="I63" s="91">
        <v>341555952.22000003</v>
      </c>
      <c r="J63" s="91">
        <v>17648776.920000002</v>
      </c>
      <c r="K63" s="91">
        <v>40592840.060000002</v>
      </c>
      <c r="L63" s="91">
        <v>108739070.17</v>
      </c>
      <c r="M63" s="91">
        <v>8644388198.3299999</v>
      </c>
      <c r="N63" s="91">
        <v>2276632.2400000002</v>
      </c>
      <c r="O63" s="91">
        <v>56343576.140000001</v>
      </c>
      <c r="P63" s="91">
        <v>1245332261.6400001</v>
      </c>
      <c r="Q63" s="91">
        <v>32172834.57</v>
      </c>
      <c r="R63" s="89">
        <v>11704957341.860001</v>
      </c>
      <c r="S63" s="90" t="s">
        <v>344</v>
      </c>
      <c r="T63" s="253"/>
      <c r="U63" s="263"/>
    </row>
    <row r="64" spans="2:21" x14ac:dyDescent="0.35">
      <c r="B64" s="234"/>
      <c r="C64" s="250" t="s">
        <v>72</v>
      </c>
      <c r="D64" s="88" t="s">
        <v>313</v>
      </c>
      <c r="E64" s="89"/>
      <c r="F64" s="89">
        <v>17300</v>
      </c>
      <c r="G64" s="89">
        <v>13241</v>
      </c>
      <c r="H64" s="89">
        <v>462527</v>
      </c>
      <c r="I64" s="89">
        <v>51614</v>
      </c>
      <c r="J64" s="89">
        <v>1410</v>
      </c>
      <c r="K64" s="89">
        <v>17522</v>
      </c>
      <c r="L64" s="89">
        <v>25194</v>
      </c>
      <c r="M64" s="89">
        <v>1946028</v>
      </c>
      <c r="N64" s="89"/>
      <c r="O64" s="89">
        <v>23987</v>
      </c>
      <c r="P64" s="89">
        <v>293704</v>
      </c>
      <c r="Q64" s="89">
        <v>17020</v>
      </c>
      <c r="R64" s="89">
        <v>2869547</v>
      </c>
      <c r="S64" s="88" t="s">
        <v>312</v>
      </c>
      <c r="T64" s="252" t="s">
        <v>88</v>
      </c>
      <c r="U64" s="263"/>
    </row>
    <row r="65" spans="2:21" x14ac:dyDescent="0.35">
      <c r="B65" s="234"/>
      <c r="C65" s="251"/>
      <c r="D65" s="90" t="s">
        <v>345</v>
      </c>
      <c r="E65" s="91"/>
      <c r="F65" s="91">
        <v>57194374.479999997</v>
      </c>
      <c r="G65" s="91">
        <v>126205357.61</v>
      </c>
      <c r="H65" s="91">
        <v>906349861.85000002</v>
      </c>
      <c r="I65" s="91">
        <v>446833800.22000003</v>
      </c>
      <c r="J65" s="91">
        <v>4713391.63</v>
      </c>
      <c r="K65" s="91">
        <v>75516979.75</v>
      </c>
      <c r="L65" s="91">
        <v>111185065.65000001</v>
      </c>
      <c r="M65" s="91">
        <v>13905221556.219999</v>
      </c>
      <c r="N65" s="91"/>
      <c r="O65" s="91">
        <v>44077156.920000002</v>
      </c>
      <c r="P65" s="91">
        <v>1583386646.0599999</v>
      </c>
      <c r="Q65" s="91">
        <v>36905634.890000001</v>
      </c>
      <c r="R65" s="89">
        <v>17297589825.279999</v>
      </c>
      <c r="S65" s="90" t="s">
        <v>344</v>
      </c>
      <c r="T65" s="253"/>
      <c r="U65" s="263"/>
    </row>
    <row r="66" spans="2:21" x14ac:dyDescent="0.35">
      <c r="B66" s="234"/>
      <c r="C66" s="250" t="s">
        <v>73</v>
      </c>
      <c r="D66" s="88" t="s">
        <v>313</v>
      </c>
      <c r="E66" s="89"/>
      <c r="F66" s="89">
        <v>1990</v>
      </c>
      <c r="G66" s="89">
        <v>14417</v>
      </c>
      <c r="H66" s="89">
        <v>513121</v>
      </c>
      <c r="I66" s="89">
        <v>29591</v>
      </c>
      <c r="J66" s="89">
        <v>100</v>
      </c>
      <c r="K66" s="89">
        <v>12962</v>
      </c>
      <c r="L66" s="89">
        <v>63456</v>
      </c>
      <c r="M66" s="89">
        <v>1558043</v>
      </c>
      <c r="N66" s="89">
        <v>207</v>
      </c>
      <c r="O66" s="89">
        <v>20602</v>
      </c>
      <c r="P66" s="89">
        <v>206650</v>
      </c>
      <c r="Q66" s="89">
        <v>3002</v>
      </c>
      <c r="R66" s="89">
        <v>2424141</v>
      </c>
      <c r="S66" s="88" t="s">
        <v>312</v>
      </c>
      <c r="T66" s="252" t="s">
        <v>89</v>
      </c>
      <c r="U66" s="263"/>
    </row>
    <row r="67" spans="2:21" x14ac:dyDescent="0.35">
      <c r="B67" s="234"/>
      <c r="C67" s="251"/>
      <c r="D67" s="90" t="s">
        <v>345</v>
      </c>
      <c r="E67" s="91"/>
      <c r="F67" s="91">
        <v>5241658.5999999996</v>
      </c>
      <c r="G67" s="91">
        <v>113260985.84999999</v>
      </c>
      <c r="H67" s="91">
        <v>1004530494.5700001</v>
      </c>
      <c r="I67" s="91">
        <v>61958759.280000001</v>
      </c>
      <c r="J67" s="91">
        <v>622983.31999999995</v>
      </c>
      <c r="K67" s="91">
        <v>22577258.59</v>
      </c>
      <c r="L67" s="91">
        <v>467886250.23000002</v>
      </c>
      <c r="M67" s="91">
        <v>10358924343.18</v>
      </c>
      <c r="N67" s="91">
        <v>740733.63</v>
      </c>
      <c r="O67" s="91">
        <v>28825523.050000001</v>
      </c>
      <c r="P67" s="91">
        <v>897098655.14999998</v>
      </c>
      <c r="Q67" s="91">
        <v>2294928.2599999998</v>
      </c>
      <c r="R67" s="89">
        <v>12963962573.709999</v>
      </c>
      <c r="S67" s="90" t="s">
        <v>344</v>
      </c>
      <c r="T67" s="253"/>
      <c r="U67" s="263"/>
    </row>
    <row r="68" spans="2:21" x14ac:dyDescent="0.35">
      <c r="B68" s="234"/>
      <c r="C68" s="250" t="s">
        <v>74</v>
      </c>
      <c r="D68" s="88" t="s">
        <v>313</v>
      </c>
      <c r="E68" s="89">
        <v>1188</v>
      </c>
      <c r="F68" s="89">
        <v>7621</v>
      </c>
      <c r="G68" s="89">
        <v>8306</v>
      </c>
      <c r="H68" s="89">
        <v>354705</v>
      </c>
      <c r="I68" s="89">
        <v>49748</v>
      </c>
      <c r="J68" s="89">
        <v>1205</v>
      </c>
      <c r="K68" s="89">
        <v>15763</v>
      </c>
      <c r="L68" s="89">
        <v>14661</v>
      </c>
      <c r="M68" s="89">
        <v>742731</v>
      </c>
      <c r="N68" s="89">
        <v>326</v>
      </c>
      <c r="O68" s="89">
        <v>23093</v>
      </c>
      <c r="P68" s="89">
        <v>283954</v>
      </c>
      <c r="Q68" s="89">
        <v>11099</v>
      </c>
      <c r="R68" s="89">
        <v>1514400</v>
      </c>
      <c r="S68" s="88" t="s">
        <v>312</v>
      </c>
      <c r="T68" s="252" t="s">
        <v>90</v>
      </c>
      <c r="U68" s="263"/>
    </row>
    <row r="69" spans="2:21" x14ac:dyDescent="0.35">
      <c r="B69" s="234"/>
      <c r="C69" s="251"/>
      <c r="D69" s="90" t="s">
        <v>345</v>
      </c>
      <c r="E69" s="91">
        <v>2827553.99</v>
      </c>
      <c r="F69" s="91">
        <v>19273935.760000002</v>
      </c>
      <c r="G69" s="91">
        <v>97602225.079999998</v>
      </c>
      <c r="H69" s="91">
        <v>1069073150.79</v>
      </c>
      <c r="I69" s="91">
        <v>597894850.62</v>
      </c>
      <c r="J69" s="91">
        <v>5150634.9400000004</v>
      </c>
      <c r="K69" s="91">
        <v>54250897.579999998</v>
      </c>
      <c r="L69" s="91">
        <v>64319450.689999998</v>
      </c>
      <c r="M69" s="91">
        <v>5000148092.4700003</v>
      </c>
      <c r="N69" s="91">
        <v>935507.56</v>
      </c>
      <c r="O69" s="91">
        <v>43727653.450000003</v>
      </c>
      <c r="P69" s="91">
        <v>2178635294.1399999</v>
      </c>
      <c r="Q69" s="91">
        <v>30088840.359999999</v>
      </c>
      <c r="R69" s="89">
        <v>9163928087.4300003</v>
      </c>
      <c r="S69" s="90" t="s">
        <v>344</v>
      </c>
      <c r="T69" s="253"/>
      <c r="U69" s="263"/>
    </row>
    <row r="70" spans="2:21" x14ac:dyDescent="0.35">
      <c r="B70" s="234"/>
      <c r="C70" s="250" t="s">
        <v>75</v>
      </c>
      <c r="D70" s="88" t="s">
        <v>313</v>
      </c>
      <c r="E70" s="89"/>
      <c r="F70" s="89">
        <v>4730</v>
      </c>
      <c r="G70" s="89">
        <v>8631</v>
      </c>
      <c r="H70" s="89">
        <v>482663</v>
      </c>
      <c r="I70" s="89">
        <v>20201</v>
      </c>
      <c r="J70" s="89">
        <v>1192</v>
      </c>
      <c r="K70" s="89">
        <v>13897</v>
      </c>
      <c r="L70" s="89">
        <v>15846</v>
      </c>
      <c r="M70" s="89">
        <v>2041278</v>
      </c>
      <c r="N70" s="89">
        <v>918</v>
      </c>
      <c r="O70" s="89">
        <v>39531</v>
      </c>
      <c r="P70" s="89">
        <v>206559</v>
      </c>
      <c r="Q70" s="89">
        <v>12049</v>
      </c>
      <c r="R70" s="89">
        <v>2847495</v>
      </c>
      <c r="S70" s="88" t="s">
        <v>312</v>
      </c>
      <c r="T70" s="252" t="s">
        <v>91</v>
      </c>
      <c r="U70" s="263"/>
    </row>
    <row r="71" spans="2:21" x14ac:dyDescent="0.35">
      <c r="B71" s="234"/>
      <c r="C71" s="251"/>
      <c r="D71" s="90" t="s">
        <v>345</v>
      </c>
      <c r="E71" s="91"/>
      <c r="F71" s="91">
        <v>15666850.91</v>
      </c>
      <c r="G71" s="91">
        <v>38359271.490000002</v>
      </c>
      <c r="H71" s="91">
        <v>878604315.88999999</v>
      </c>
      <c r="I71" s="91">
        <v>103741513.81</v>
      </c>
      <c r="J71" s="91">
        <v>2669379.64</v>
      </c>
      <c r="K71" s="91">
        <v>42146099.93</v>
      </c>
      <c r="L71" s="91">
        <v>71152865.25</v>
      </c>
      <c r="M71" s="91">
        <v>28149525586.349998</v>
      </c>
      <c r="N71" s="91">
        <v>477060.87</v>
      </c>
      <c r="O71" s="91">
        <v>77673212.409999996</v>
      </c>
      <c r="P71" s="91">
        <v>883163698.64999998</v>
      </c>
      <c r="Q71" s="91">
        <v>26986648.649999999</v>
      </c>
      <c r="R71" s="89">
        <v>30290166503.849998</v>
      </c>
      <c r="S71" s="90" t="s">
        <v>344</v>
      </c>
      <c r="T71" s="253"/>
      <c r="U71" s="263"/>
    </row>
    <row r="72" spans="2:21" x14ac:dyDescent="0.35">
      <c r="B72" s="234"/>
      <c r="C72" s="250" t="s">
        <v>76</v>
      </c>
      <c r="D72" s="88" t="s">
        <v>313</v>
      </c>
      <c r="E72" s="89">
        <v>1383</v>
      </c>
      <c r="F72" s="89">
        <v>19457</v>
      </c>
      <c r="G72" s="89">
        <v>19077</v>
      </c>
      <c r="H72" s="89">
        <v>481884</v>
      </c>
      <c r="I72" s="89">
        <v>24251</v>
      </c>
      <c r="J72" s="89">
        <v>883</v>
      </c>
      <c r="K72" s="89">
        <v>14858</v>
      </c>
      <c r="L72" s="89">
        <v>43768</v>
      </c>
      <c r="M72" s="89">
        <v>471940</v>
      </c>
      <c r="N72" s="89">
        <v>4037</v>
      </c>
      <c r="O72" s="89">
        <v>27852</v>
      </c>
      <c r="P72" s="89">
        <v>217687</v>
      </c>
      <c r="Q72" s="89">
        <v>22693</v>
      </c>
      <c r="R72" s="89">
        <v>1349770</v>
      </c>
      <c r="S72" s="88" t="s">
        <v>312</v>
      </c>
      <c r="T72" s="252" t="s">
        <v>92</v>
      </c>
      <c r="U72" s="263"/>
    </row>
    <row r="73" spans="2:21" x14ac:dyDescent="0.35">
      <c r="B73" s="234"/>
      <c r="C73" s="251"/>
      <c r="D73" s="90" t="s">
        <v>345</v>
      </c>
      <c r="E73" s="91">
        <v>3972836.47</v>
      </c>
      <c r="F73" s="91">
        <v>33448458.379999999</v>
      </c>
      <c r="G73" s="91">
        <v>53598216.329999998</v>
      </c>
      <c r="H73" s="91">
        <v>904969450.82000005</v>
      </c>
      <c r="I73" s="91">
        <v>95752114.810000002</v>
      </c>
      <c r="J73" s="91">
        <v>2087171.88</v>
      </c>
      <c r="K73" s="91">
        <v>19718336.899999999</v>
      </c>
      <c r="L73" s="91">
        <v>177304170.87</v>
      </c>
      <c r="M73" s="91">
        <v>2875529534.54</v>
      </c>
      <c r="N73" s="91">
        <v>10190990.6</v>
      </c>
      <c r="O73" s="91">
        <v>30925270.379999999</v>
      </c>
      <c r="P73" s="91">
        <v>694316743.52999997</v>
      </c>
      <c r="Q73" s="91">
        <v>72651461.430000007</v>
      </c>
      <c r="R73" s="89">
        <v>4974464756.9399996</v>
      </c>
      <c r="S73" s="90" t="s">
        <v>344</v>
      </c>
      <c r="T73" s="253"/>
      <c r="U73" s="263"/>
    </row>
    <row r="74" spans="2:21" x14ac:dyDescent="0.35">
      <c r="B74" s="234"/>
      <c r="C74" s="250" t="s">
        <v>77</v>
      </c>
      <c r="D74" s="88" t="s">
        <v>313</v>
      </c>
      <c r="E74" s="89">
        <v>8195</v>
      </c>
      <c r="F74" s="89">
        <v>11529</v>
      </c>
      <c r="G74" s="89">
        <v>28407</v>
      </c>
      <c r="H74" s="89">
        <v>551505</v>
      </c>
      <c r="I74" s="89">
        <v>26448</v>
      </c>
      <c r="J74" s="89">
        <v>822</v>
      </c>
      <c r="K74" s="89">
        <v>19362</v>
      </c>
      <c r="L74" s="89">
        <v>17603</v>
      </c>
      <c r="M74" s="89">
        <v>1152097</v>
      </c>
      <c r="N74" s="89">
        <v>1782</v>
      </c>
      <c r="O74" s="89">
        <v>38294</v>
      </c>
      <c r="P74" s="89">
        <v>243809</v>
      </c>
      <c r="Q74" s="89">
        <v>9380</v>
      </c>
      <c r="R74" s="89">
        <v>2109233</v>
      </c>
      <c r="S74" s="88" t="s">
        <v>312</v>
      </c>
      <c r="T74" s="252" t="s">
        <v>93</v>
      </c>
      <c r="U74" s="263"/>
    </row>
    <row r="75" spans="2:21" x14ac:dyDescent="0.35">
      <c r="B75" s="234"/>
      <c r="C75" s="251"/>
      <c r="D75" s="90" t="s">
        <v>345</v>
      </c>
      <c r="E75" s="91">
        <v>21871808.100000001</v>
      </c>
      <c r="F75" s="91">
        <v>24669993.460000001</v>
      </c>
      <c r="G75" s="91">
        <v>79966413.040000007</v>
      </c>
      <c r="H75" s="91">
        <v>866500878.32000005</v>
      </c>
      <c r="I75" s="91">
        <v>100630816.29000001</v>
      </c>
      <c r="J75" s="91">
        <v>1950902.36</v>
      </c>
      <c r="K75" s="91">
        <v>31576133.43</v>
      </c>
      <c r="L75" s="91">
        <v>46789959.710000001</v>
      </c>
      <c r="M75" s="91">
        <v>4929508497.0100002</v>
      </c>
      <c r="N75" s="91">
        <v>5525818.3899999997</v>
      </c>
      <c r="O75" s="91">
        <v>52286131.859999999</v>
      </c>
      <c r="P75" s="91">
        <v>768930010.08000004</v>
      </c>
      <c r="Q75" s="91">
        <v>22410131.039999999</v>
      </c>
      <c r="R75" s="89">
        <v>6952617493.0900002</v>
      </c>
      <c r="S75" s="90" t="s">
        <v>344</v>
      </c>
      <c r="T75" s="253"/>
      <c r="U75" s="263"/>
    </row>
    <row r="76" spans="2:21" x14ac:dyDescent="0.35">
      <c r="B76" s="234"/>
      <c r="C76" s="250" t="s">
        <v>78</v>
      </c>
      <c r="D76" s="88" t="s">
        <v>313</v>
      </c>
      <c r="E76" s="89">
        <v>3031</v>
      </c>
      <c r="F76" s="89">
        <v>14391</v>
      </c>
      <c r="G76" s="89">
        <v>17876</v>
      </c>
      <c r="H76" s="89">
        <v>418936</v>
      </c>
      <c r="I76" s="89">
        <v>29867</v>
      </c>
      <c r="J76" s="89"/>
      <c r="K76" s="89">
        <v>15241</v>
      </c>
      <c r="L76" s="89">
        <v>26114</v>
      </c>
      <c r="M76" s="89">
        <v>1247842</v>
      </c>
      <c r="N76" s="89">
        <v>1391</v>
      </c>
      <c r="O76" s="89">
        <v>33270</v>
      </c>
      <c r="P76" s="89">
        <v>223916</v>
      </c>
      <c r="Q76" s="89">
        <v>8043</v>
      </c>
      <c r="R76" s="89">
        <v>2039918</v>
      </c>
      <c r="S76" s="88" t="s">
        <v>312</v>
      </c>
      <c r="T76" s="252" t="s">
        <v>94</v>
      </c>
      <c r="U76" s="263"/>
    </row>
    <row r="77" spans="2:21" x14ac:dyDescent="0.35">
      <c r="B77" s="234"/>
      <c r="C77" s="251"/>
      <c r="D77" s="90" t="s">
        <v>345</v>
      </c>
      <c r="E77" s="91">
        <v>7814897.5199999996</v>
      </c>
      <c r="F77" s="91">
        <v>31862195.920000002</v>
      </c>
      <c r="G77" s="91">
        <v>53418467.240000002</v>
      </c>
      <c r="H77" s="91">
        <v>656262415.44000006</v>
      </c>
      <c r="I77" s="91">
        <v>134883213.99000001</v>
      </c>
      <c r="J77" s="91"/>
      <c r="K77" s="91">
        <v>16670124.720000001</v>
      </c>
      <c r="L77" s="91">
        <v>81803833.980000004</v>
      </c>
      <c r="M77" s="91">
        <v>5943337059.1400003</v>
      </c>
      <c r="N77" s="91">
        <v>3069800.17</v>
      </c>
      <c r="O77" s="91">
        <v>46226108.07</v>
      </c>
      <c r="P77" s="91">
        <v>740446922.88999999</v>
      </c>
      <c r="Q77" s="91">
        <v>19595682.760000002</v>
      </c>
      <c r="R77" s="89">
        <v>7735390721.8400002</v>
      </c>
      <c r="S77" s="90" t="s">
        <v>344</v>
      </c>
      <c r="T77" s="253"/>
      <c r="U77" s="263"/>
    </row>
    <row r="78" spans="2:21" x14ac:dyDescent="0.35">
      <c r="B78" s="234"/>
      <c r="C78" s="250" t="s">
        <v>79</v>
      </c>
      <c r="D78" s="88" t="s">
        <v>313</v>
      </c>
      <c r="E78" s="89">
        <v>1703</v>
      </c>
      <c r="F78" s="89">
        <v>4564</v>
      </c>
      <c r="G78" s="89">
        <v>15924</v>
      </c>
      <c r="H78" s="89">
        <v>381644</v>
      </c>
      <c r="I78" s="89">
        <v>25985</v>
      </c>
      <c r="J78" s="89">
        <v>22</v>
      </c>
      <c r="K78" s="89">
        <v>15652</v>
      </c>
      <c r="L78" s="89">
        <v>20445</v>
      </c>
      <c r="M78" s="89">
        <v>1483480</v>
      </c>
      <c r="N78" s="89">
        <v>113</v>
      </c>
      <c r="O78" s="89">
        <v>27739</v>
      </c>
      <c r="P78" s="89">
        <v>203939</v>
      </c>
      <c r="Q78" s="89">
        <v>9829</v>
      </c>
      <c r="R78" s="89">
        <v>2191039</v>
      </c>
      <c r="S78" s="88" t="s">
        <v>312</v>
      </c>
      <c r="T78" s="252" t="s">
        <v>95</v>
      </c>
      <c r="U78" s="263"/>
    </row>
    <row r="79" spans="2:21" x14ac:dyDescent="0.35">
      <c r="B79" s="234"/>
      <c r="C79" s="251"/>
      <c r="D79" s="90" t="s">
        <v>345</v>
      </c>
      <c r="E79" s="91">
        <v>4564939.33</v>
      </c>
      <c r="F79" s="91">
        <v>9064019.3399999999</v>
      </c>
      <c r="G79" s="91">
        <v>41483523.880000003</v>
      </c>
      <c r="H79" s="91">
        <v>693282395.78999996</v>
      </c>
      <c r="I79" s="91">
        <v>137343800.03999999</v>
      </c>
      <c r="J79" s="91">
        <v>55220.83</v>
      </c>
      <c r="K79" s="91">
        <v>21280273.18</v>
      </c>
      <c r="L79" s="91">
        <v>60343104.060000002</v>
      </c>
      <c r="M79" s="91">
        <v>7512414815.9099998</v>
      </c>
      <c r="N79" s="91">
        <v>640396.26</v>
      </c>
      <c r="O79" s="91">
        <v>30732898.43</v>
      </c>
      <c r="P79" s="91">
        <v>629187683.33000004</v>
      </c>
      <c r="Q79" s="91">
        <v>19084528.239999998</v>
      </c>
      <c r="R79" s="89">
        <v>9159477598.6200008</v>
      </c>
      <c r="S79" s="90" t="s">
        <v>344</v>
      </c>
      <c r="T79" s="253"/>
      <c r="U79" s="263"/>
    </row>
    <row r="80" spans="2:21" x14ac:dyDescent="0.35">
      <c r="B80" s="234"/>
      <c r="C80" s="250" t="s">
        <v>80</v>
      </c>
      <c r="D80" s="88" t="s">
        <v>313</v>
      </c>
      <c r="E80" s="89">
        <v>415</v>
      </c>
      <c r="F80" s="89">
        <v>9421</v>
      </c>
      <c r="G80" s="89">
        <v>14522</v>
      </c>
      <c r="H80" s="89">
        <v>369116</v>
      </c>
      <c r="I80" s="89">
        <v>19992</v>
      </c>
      <c r="J80" s="89">
        <v>1027</v>
      </c>
      <c r="K80" s="89">
        <v>18495</v>
      </c>
      <c r="L80" s="89">
        <v>12421</v>
      </c>
      <c r="M80" s="89">
        <v>1534464</v>
      </c>
      <c r="N80" s="89">
        <v>955</v>
      </c>
      <c r="O80" s="89">
        <v>36908</v>
      </c>
      <c r="P80" s="89">
        <v>211546</v>
      </c>
      <c r="Q80" s="89">
        <v>8276</v>
      </c>
      <c r="R80" s="89">
        <v>2237558</v>
      </c>
      <c r="S80" s="88" t="s">
        <v>312</v>
      </c>
      <c r="T80" s="252" t="s">
        <v>96</v>
      </c>
      <c r="U80" s="263"/>
    </row>
    <row r="81" spans="2:21" x14ac:dyDescent="0.35">
      <c r="B81" s="234"/>
      <c r="C81" s="251"/>
      <c r="D81" s="90" t="s">
        <v>345</v>
      </c>
      <c r="E81" s="91">
        <v>773543.19</v>
      </c>
      <c r="F81" s="91">
        <v>13978073.890000001</v>
      </c>
      <c r="G81" s="91">
        <v>43269678.18</v>
      </c>
      <c r="H81" s="91">
        <v>864196339.36000001</v>
      </c>
      <c r="I81" s="91">
        <v>93082466.420000002</v>
      </c>
      <c r="J81" s="91">
        <v>1984861.77</v>
      </c>
      <c r="K81" s="91">
        <v>34714456.729999997</v>
      </c>
      <c r="L81" s="91">
        <v>22243284.02</v>
      </c>
      <c r="M81" s="91">
        <v>7911160991.4700003</v>
      </c>
      <c r="N81" s="91">
        <v>3119208.49</v>
      </c>
      <c r="O81" s="91">
        <v>41978482.350000001</v>
      </c>
      <c r="P81" s="91">
        <v>742074157.72000003</v>
      </c>
      <c r="Q81" s="91">
        <v>17471855.16</v>
      </c>
      <c r="R81" s="89">
        <v>9790047398.75</v>
      </c>
      <c r="S81" s="90" t="s">
        <v>344</v>
      </c>
      <c r="T81" s="253"/>
      <c r="U81" s="263"/>
    </row>
    <row r="82" spans="2:21" x14ac:dyDescent="0.35">
      <c r="B82" s="234"/>
      <c r="C82" s="250" t="s">
        <v>81</v>
      </c>
      <c r="D82" s="88" t="s">
        <v>313</v>
      </c>
      <c r="E82" s="89">
        <v>2</v>
      </c>
      <c r="F82" s="89">
        <v>16461</v>
      </c>
      <c r="G82" s="89">
        <v>21416</v>
      </c>
      <c r="H82" s="89">
        <v>525743</v>
      </c>
      <c r="I82" s="89">
        <v>23290</v>
      </c>
      <c r="J82" s="89">
        <v>1424</v>
      </c>
      <c r="K82" s="89">
        <v>26391</v>
      </c>
      <c r="L82" s="89">
        <v>30347</v>
      </c>
      <c r="M82" s="89">
        <v>1862357</v>
      </c>
      <c r="N82" s="89">
        <v>4403</v>
      </c>
      <c r="O82" s="89">
        <v>30590</v>
      </c>
      <c r="P82" s="89">
        <v>342648</v>
      </c>
      <c r="Q82" s="89">
        <v>17717</v>
      </c>
      <c r="R82" s="89">
        <v>2902789</v>
      </c>
      <c r="S82" s="88" t="s">
        <v>312</v>
      </c>
      <c r="T82" s="252" t="s">
        <v>97</v>
      </c>
      <c r="U82" s="263"/>
    </row>
    <row r="83" spans="2:21" x14ac:dyDescent="0.35">
      <c r="B83" s="235"/>
      <c r="C83" s="251"/>
      <c r="D83" s="90" t="s">
        <v>345</v>
      </c>
      <c r="E83" s="91">
        <v>3456.77</v>
      </c>
      <c r="F83" s="91">
        <v>26791195.16</v>
      </c>
      <c r="G83" s="91">
        <v>46901526.280000001</v>
      </c>
      <c r="H83" s="91">
        <v>727010492.79999995</v>
      </c>
      <c r="I83" s="91">
        <v>78485969.980000004</v>
      </c>
      <c r="J83" s="91">
        <v>2549193.21</v>
      </c>
      <c r="K83" s="91">
        <v>25977610.02</v>
      </c>
      <c r="L83" s="91">
        <v>53580052.43</v>
      </c>
      <c r="M83" s="91">
        <v>8702624920.3799992</v>
      </c>
      <c r="N83" s="91">
        <v>6261875.6200000001</v>
      </c>
      <c r="O83" s="91">
        <v>25657468.739999998</v>
      </c>
      <c r="P83" s="91">
        <v>890275872.08000004</v>
      </c>
      <c r="Q83" s="91">
        <v>43081584.200000003</v>
      </c>
      <c r="R83" s="91">
        <v>10629201217.67</v>
      </c>
      <c r="S83" s="90" t="s">
        <v>344</v>
      </c>
      <c r="T83" s="253"/>
      <c r="U83" s="264"/>
    </row>
    <row r="84" spans="2:21" x14ac:dyDescent="0.35">
      <c r="B84" s="254" t="s">
        <v>82</v>
      </c>
      <c r="C84" s="255"/>
      <c r="D84" s="92" t="s">
        <v>313</v>
      </c>
      <c r="E84" s="93">
        <v>16257</v>
      </c>
      <c r="F84" s="93">
        <v>126253</v>
      </c>
      <c r="G84" s="93">
        <v>186905</v>
      </c>
      <c r="H84" s="93">
        <v>5667364</v>
      </c>
      <c r="I84" s="93">
        <v>357820</v>
      </c>
      <c r="J84" s="93">
        <v>14850</v>
      </c>
      <c r="K84" s="93">
        <v>196708</v>
      </c>
      <c r="L84" s="93">
        <v>321068</v>
      </c>
      <c r="M84" s="93">
        <v>17014574</v>
      </c>
      <c r="N84" s="93">
        <v>17390</v>
      </c>
      <c r="O84" s="93">
        <v>356241</v>
      </c>
      <c r="P84" s="93">
        <v>3010057</v>
      </c>
      <c r="Q84" s="93">
        <v>138049</v>
      </c>
      <c r="R84" s="93">
        <v>27423536</v>
      </c>
      <c r="S84" s="92" t="s">
        <v>312</v>
      </c>
      <c r="T84" s="258" t="s">
        <v>98</v>
      </c>
      <c r="U84" s="259"/>
    </row>
    <row r="85" spans="2:21" x14ac:dyDescent="0.35">
      <c r="B85" s="256"/>
      <c r="C85" s="257"/>
      <c r="D85" s="94" t="s">
        <v>345</v>
      </c>
      <c r="E85" s="93">
        <v>43307210.82</v>
      </c>
      <c r="F85" s="93">
        <v>288312993.48000002</v>
      </c>
      <c r="G85" s="93">
        <v>823071589.65999997</v>
      </c>
      <c r="H85" s="93">
        <v>11037346611.620001</v>
      </c>
      <c r="I85" s="93">
        <v>2273068408.5599999</v>
      </c>
      <c r="J85" s="93">
        <v>45991851.060000002</v>
      </c>
      <c r="K85" s="93">
        <v>437530491.54000002</v>
      </c>
      <c r="L85" s="93">
        <v>1337479731.52</v>
      </c>
      <c r="M85" s="93">
        <v>111487238561.86</v>
      </c>
      <c r="N85" s="93">
        <v>42210583.390000001</v>
      </c>
      <c r="O85" s="93">
        <v>535539800.69</v>
      </c>
      <c r="P85" s="93">
        <v>12541560215.889999</v>
      </c>
      <c r="Q85" s="93">
        <v>341320768</v>
      </c>
      <c r="R85" s="93">
        <v>141233978818.09</v>
      </c>
      <c r="S85" s="94" t="s">
        <v>344</v>
      </c>
      <c r="T85" s="260"/>
      <c r="U85" s="261"/>
    </row>
    <row r="86" spans="2:21" x14ac:dyDescent="0.35">
      <c r="B86" s="233">
        <v>2024</v>
      </c>
      <c r="C86" s="250" t="s">
        <v>70</v>
      </c>
      <c r="D86" s="88" t="s">
        <v>313</v>
      </c>
      <c r="E86" s="89"/>
      <c r="F86" s="89">
        <v>14808</v>
      </c>
      <c r="G86" s="89">
        <v>20510</v>
      </c>
      <c r="H86" s="89">
        <v>702591</v>
      </c>
      <c r="I86" s="89">
        <v>25979</v>
      </c>
      <c r="J86" s="89">
        <v>332</v>
      </c>
      <c r="K86" s="89">
        <v>19553</v>
      </c>
      <c r="L86" s="89">
        <v>36934</v>
      </c>
      <c r="M86" s="89">
        <v>1880746</v>
      </c>
      <c r="N86" s="89">
        <v>1440</v>
      </c>
      <c r="O86" s="89">
        <v>94023</v>
      </c>
      <c r="P86" s="89">
        <v>320504</v>
      </c>
      <c r="Q86" s="89">
        <v>17333</v>
      </c>
      <c r="R86" s="89">
        <v>3134753</v>
      </c>
      <c r="S86" s="88" t="s">
        <v>312</v>
      </c>
      <c r="T86" s="252" t="s">
        <v>86</v>
      </c>
      <c r="U86" s="262">
        <v>2024</v>
      </c>
    </row>
    <row r="87" spans="2:21" x14ac:dyDescent="0.35">
      <c r="B87" s="234"/>
      <c r="C87" s="251"/>
      <c r="D87" s="90" t="s">
        <v>345</v>
      </c>
      <c r="E87" s="91"/>
      <c r="F87" s="91">
        <v>24432327.649999999</v>
      </c>
      <c r="G87" s="91">
        <v>60807216.159999996</v>
      </c>
      <c r="H87" s="91">
        <v>1092097102.95</v>
      </c>
      <c r="I87" s="91">
        <v>90398553.569999993</v>
      </c>
      <c r="J87" s="91">
        <v>901912.11</v>
      </c>
      <c r="K87" s="91">
        <v>33212026.57</v>
      </c>
      <c r="L87" s="91">
        <v>67893063.599999994</v>
      </c>
      <c r="M87" s="91">
        <v>10100068428.74</v>
      </c>
      <c r="N87" s="91">
        <v>825181.29</v>
      </c>
      <c r="O87" s="91">
        <v>85902875.510000005</v>
      </c>
      <c r="P87" s="91">
        <v>761093032.45000005</v>
      </c>
      <c r="Q87" s="91">
        <v>45286736.240000002</v>
      </c>
      <c r="R87" s="89">
        <v>12362918456.84</v>
      </c>
      <c r="S87" s="90" t="s">
        <v>344</v>
      </c>
      <c r="T87" s="253"/>
      <c r="U87" s="263"/>
    </row>
    <row r="88" spans="2:21" x14ac:dyDescent="0.35">
      <c r="B88" s="234"/>
      <c r="C88" s="250" t="s">
        <v>71</v>
      </c>
      <c r="D88" s="88" t="s">
        <v>313</v>
      </c>
      <c r="E88" s="89">
        <v>1066</v>
      </c>
      <c r="F88" s="89">
        <v>20599</v>
      </c>
      <c r="G88" s="89">
        <v>14556</v>
      </c>
      <c r="H88" s="89">
        <v>604765</v>
      </c>
      <c r="I88" s="89">
        <v>21718</v>
      </c>
      <c r="J88" s="89">
        <v>262</v>
      </c>
      <c r="K88" s="89">
        <v>13901</v>
      </c>
      <c r="L88" s="89">
        <v>16194</v>
      </c>
      <c r="M88" s="89">
        <v>2057223</v>
      </c>
      <c r="N88" s="89">
        <v>2910</v>
      </c>
      <c r="O88" s="89">
        <v>41929</v>
      </c>
      <c r="P88" s="89">
        <v>302457</v>
      </c>
      <c r="Q88" s="89">
        <v>13605</v>
      </c>
      <c r="R88" s="89">
        <v>3111185</v>
      </c>
      <c r="S88" s="88" t="s">
        <v>312</v>
      </c>
      <c r="T88" s="252" t="s">
        <v>87</v>
      </c>
      <c r="U88" s="263"/>
    </row>
    <row r="89" spans="2:21" x14ac:dyDescent="0.35">
      <c r="B89" s="234"/>
      <c r="C89" s="251"/>
      <c r="D89" s="90" t="s">
        <v>345</v>
      </c>
      <c r="E89" s="91">
        <v>1833304.78</v>
      </c>
      <c r="F89" s="91">
        <v>46420408.710000001</v>
      </c>
      <c r="G89" s="91">
        <v>43970256.530000001</v>
      </c>
      <c r="H89" s="91">
        <v>871625606.54999995</v>
      </c>
      <c r="I89" s="91">
        <v>93973752.379999995</v>
      </c>
      <c r="J89" s="91">
        <v>114718.74</v>
      </c>
      <c r="K89" s="91">
        <v>18872676</v>
      </c>
      <c r="L89" s="91">
        <v>33935722.450000003</v>
      </c>
      <c r="M89" s="91">
        <v>13666412982.85</v>
      </c>
      <c r="N89" s="91">
        <v>4945721.16</v>
      </c>
      <c r="O89" s="91">
        <v>56963607.369999997</v>
      </c>
      <c r="P89" s="91">
        <v>1032721768.3</v>
      </c>
      <c r="Q89" s="91">
        <v>35274090.479999997</v>
      </c>
      <c r="R89" s="89">
        <v>15907064616.299999</v>
      </c>
      <c r="S89" s="90" t="s">
        <v>344</v>
      </c>
      <c r="T89" s="253"/>
      <c r="U89" s="263"/>
    </row>
    <row r="90" spans="2:21" x14ac:dyDescent="0.35">
      <c r="B90" s="234"/>
      <c r="C90" s="250" t="s">
        <v>72</v>
      </c>
      <c r="D90" s="88" t="s">
        <v>313</v>
      </c>
      <c r="E90" s="89"/>
      <c r="F90" s="89">
        <v>11446</v>
      </c>
      <c r="G90" s="89">
        <v>13617</v>
      </c>
      <c r="H90" s="89">
        <v>445486</v>
      </c>
      <c r="I90" s="89">
        <v>33639</v>
      </c>
      <c r="J90" s="89"/>
      <c r="K90" s="89">
        <v>20746</v>
      </c>
      <c r="L90" s="89">
        <v>38367</v>
      </c>
      <c r="M90" s="89">
        <v>2388097</v>
      </c>
      <c r="N90" s="89">
        <v>779</v>
      </c>
      <c r="O90" s="89">
        <v>35146</v>
      </c>
      <c r="P90" s="89">
        <v>169270</v>
      </c>
      <c r="Q90" s="89">
        <v>4374</v>
      </c>
      <c r="R90" s="89">
        <v>3160967</v>
      </c>
      <c r="S90" s="88" t="s">
        <v>312</v>
      </c>
      <c r="T90" s="252" t="s">
        <v>88</v>
      </c>
      <c r="U90" s="263"/>
    </row>
    <row r="91" spans="2:21" x14ac:dyDescent="0.35">
      <c r="B91" s="234"/>
      <c r="C91" s="251"/>
      <c r="D91" s="90" t="s">
        <v>345</v>
      </c>
      <c r="E91" s="91"/>
      <c r="F91" s="91">
        <v>35121709.509999998</v>
      </c>
      <c r="G91" s="91">
        <v>56517764.729999997</v>
      </c>
      <c r="H91" s="91">
        <v>777169150.70000005</v>
      </c>
      <c r="I91" s="91">
        <v>128059533.89</v>
      </c>
      <c r="J91" s="91"/>
      <c r="K91" s="91">
        <v>30563727.77</v>
      </c>
      <c r="L91" s="91">
        <v>79064384.120000005</v>
      </c>
      <c r="M91" s="91">
        <v>15983097273.620001</v>
      </c>
      <c r="N91" s="91">
        <v>455269.14</v>
      </c>
      <c r="O91" s="91">
        <v>51400040.969999999</v>
      </c>
      <c r="P91" s="91">
        <v>361669628.61000001</v>
      </c>
      <c r="Q91" s="91">
        <v>19783960.719999999</v>
      </c>
      <c r="R91" s="89">
        <v>17522902443.779999</v>
      </c>
      <c r="S91" s="90" t="s">
        <v>344</v>
      </c>
      <c r="T91" s="253"/>
      <c r="U91" s="263"/>
    </row>
    <row r="92" spans="2:21" x14ac:dyDescent="0.35">
      <c r="B92" s="234"/>
      <c r="C92" s="250" t="s">
        <v>73</v>
      </c>
      <c r="D92" s="88" t="s">
        <v>313</v>
      </c>
      <c r="E92" s="89">
        <v>434</v>
      </c>
      <c r="F92" s="89">
        <v>27138</v>
      </c>
      <c r="G92" s="89">
        <v>16132</v>
      </c>
      <c r="H92" s="89">
        <v>375356</v>
      </c>
      <c r="I92" s="89">
        <v>15630</v>
      </c>
      <c r="J92" s="89"/>
      <c r="K92" s="89">
        <v>15935</v>
      </c>
      <c r="L92" s="89">
        <v>26427</v>
      </c>
      <c r="M92" s="89">
        <v>1381710</v>
      </c>
      <c r="N92" s="89"/>
      <c r="O92" s="89">
        <v>28422</v>
      </c>
      <c r="P92" s="89">
        <v>168382</v>
      </c>
      <c r="Q92" s="89">
        <v>729</v>
      </c>
      <c r="R92" s="89">
        <v>2056295</v>
      </c>
      <c r="S92" s="88" t="s">
        <v>312</v>
      </c>
      <c r="T92" s="252" t="s">
        <v>89</v>
      </c>
      <c r="U92" s="263"/>
    </row>
    <row r="93" spans="2:21" x14ac:dyDescent="0.35">
      <c r="B93" s="234"/>
      <c r="C93" s="251"/>
      <c r="D93" s="90" t="s">
        <v>345</v>
      </c>
      <c r="E93" s="91">
        <v>742646.52</v>
      </c>
      <c r="F93" s="91">
        <v>136964782.94</v>
      </c>
      <c r="G93" s="91">
        <v>65229742.549999997</v>
      </c>
      <c r="H93" s="91">
        <v>572184910.42999995</v>
      </c>
      <c r="I93" s="91">
        <v>85215623.450000003</v>
      </c>
      <c r="J93" s="91"/>
      <c r="K93" s="91">
        <v>21611368.050000001</v>
      </c>
      <c r="L93" s="91">
        <v>97365170.269999996</v>
      </c>
      <c r="M93" s="91">
        <v>8801284762.0699997</v>
      </c>
      <c r="N93" s="91"/>
      <c r="O93" s="91">
        <v>53168583.670000002</v>
      </c>
      <c r="P93" s="91">
        <v>624536389.83000004</v>
      </c>
      <c r="Q93" s="91">
        <v>1639306.81</v>
      </c>
      <c r="R93" s="89">
        <v>10459943286.59</v>
      </c>
      <c r="S93" s="90" t="s">
        <v>344</v>
      </c>
      <c r="T93" s="253"/>
      <c r="U93" s="263"/>
    </row>
    <row r="94" spans="2:21" x14ac:dyDescent="0.35">
      <c r="B94" s="234"/>
      <c r="C94" s="250" t="s">
        <v>74</v>
      </c>
      <c r="D94" s="88" t="s">
        <v>313</v>
      </c>
      <c r="E94" s="89"/>
      <c r="F94" s="89">
        <v>35522</v>
      </c>
      <c r="G94" s="89">
        <v>27835</v>
      </c>
      <c r="H94" s="89">
        <v>292788</v>
      </c>
      <c r="I94" s="89">
        <v>37908</v>
      </c>
      <c r="J94" s="89">
        <v>1061</v>
      </c>
      <c r="K94" s="89">
        <v>28835</v>
      </c>
      <c r="L94" s="89">
        <v>27982</v>
      </c>
      <c r="M94" s="89">
        <v>829977</v>
      </c>
      <c r="N94" s="89">
        <v>355</v>
      </c>
      <c r="O94" s="89">
        <v>35122</v>
      </c>
      <c r="P94" s="89">
        <v>182977</v>
      </c>
      <c r="Q94" s="89">
        <v>3676</v>
      </c>
      <c r="R94" s="89">
        <v>1504038</v>
      </c>
      <c r="S94" s="88" t="s">
        <v>312</v>
      </c>
      <c r="T94" s="252" t="s">
        <v>90</v>
      </c>
      <c r="U94" s="263"/>
    </row>
    <row r="95" spans="2:21" x14ac:dyDescent="0.35">
      <c r="B95" s="234"/>
      <c r="C95" s="251"/>
      <c r="D95" s="90" t="s">
        <v>345</v>
      </c>
      <c r="E95" s="91"/>
      <c r="F95" s="91">
        <v>216424243.81</v>
      </c>
      <c r="G95" s="91">
        <v>103100422.23999999</v>
      </c>
      <c r="H95" s="91">
        <v>710356433.60000002</v>
      </c>
      <c r="I95" s="91">
        <v>235659045.86000001</v>
      </c>
      <c r="J95" s="91">
        <v>2474719.9500000002</v>
      </c>
      <c r="K95" s="91">
        <v>61074399.32</v>
      </c>
      <c r="L95" s="91">
        <v>122394836.73999999</v>
      </c>
      <c r="M95" s="91">
        <v>5800963769.1499996</v>
      </c>
      <c r="N95" s="91">
        <v>814900.63</v>
      </c>
      <c r="O95" s="91">
        <v>104637266.88</v>
      </c>
      <c r="P95" s="91">
        <v>798262814.37</v>
      </c>
      <c r="Q95" s="91">
        <v>9839722.8100000005</v>
      </c>
      <c r="R95" s="89">
        <v>8166002575.3599997</v>
      </c>
      <c r="S95" s="90" t="s">
        <v>344</v>
      </c>
      <c r="T95" s="253"/>
      <c r="U95" s="263"/>
    </row>
    <row r="96" spans="2:21" x14ac:dyDescent="0.35">
      <c r="B96" s="234"/>
      <c r="C96" s="250" t="s">
        <v>75</v>
      </c>
      <c r="D96" s="88" t="s">
        <v>313</v>
      </c>
      <c r="E96" s="89">
        <v>1400</v>
      </c>
      <c r="F96" s="89">
        <v>53635</v>
      </c>
      <c r="G96" s="89">
        <v>14427</v>
      </c>
      <c r="H96" s="89">
        <v>414539</v>
      </c>
      <c r="I96" s="89">
        <v>32915</v>
      </c>
      <c r="J96" s="89">
        <v>5971</v>
      </c>
      <c r="K96" s="89">
        <v>29799</v>
      </c>
      <c r="L96" s="89">
        <v>28971</v>
      </c>
      <c r="M96" s="89">
        <v>1971069</v>
      </c>
      <c r="N96" s="89">
        <v>1765</v>
      </c>
      <c r="O96" s="89">
        <v>24655</v>
      </c>
      <c r="P96" s="89">
        <v>205760</v>
      </c>
      <c r="Q96" s="89">
        <v>4634</v>
      </c>
      <c r="R96" s="89">
        <v>2789540</v>
      </c>
      <c r="S96" s="88" t="s">
        <v>312</v>
      </c>
      <c r="T96" s="252" t="s">
        <v>91</v>
      </c>
      <c r="U96" s="263"/>
    </row>
    <row r="97" spans="2:21" x14ac:dyDescent="0.35">
      <c r="B97" s="234"/>
      <c r="C97" s="251"/>
      <c r="D97" s="90" t="s">
        <v>345</v>
      </c>
      <c r="E97" s="91">
        <v>3045663.44</v>
      </c>
      <c r="F97" s="91">
        <v>392645941.81</v>
      </c>
      <c r="G97" s="91">
        <v>51601248.590000004</v>
      </c>
      <c r="H97" s="91">
        <v>875993774.26999998</v>
      </c>
      <c r="I97" s="91">
        <v>150189021.34999999</v>
      </c>
      <c r="J97" s="91">
        <v>22948064.670000002</v>
      </c>
      <c r="K97" s="91">
        <v>53611177.299999997</v>
      </c>
      <c r="L97" s="91">
        <v>117404719.42</v>
      </c>
      <c r="M97" s="91">
        <v>27398397222.91</v>
      </c>
      <c r="N97" s="91">
        <v>1159840.71</v>
      </c>
      <c r="O97" s="91">
        <v>49492285.93</v>
      </c>
      <c r="P97" s="91">
        <v>719217413.82000005</v>
      </c>
      <c r="Q97" s="91">
        <v>12898262.76</v>
      </c>
      <c r="R97" s="89">
        <v>29848604636.98</v>
      </c>
      <c r="S97" s="90" t="s">
        <v>344</v>
      </c>
      <c r="T97" s="253"/>
      <c r="U97" s="263"/>
    </row>
    <row r="98" spans="2:21" x14ac:dyDescent="0.35">
      <c r="B98" s="234"/>
      <c r="C98" s="250" t="s">
        <v>76</v>
      </c>
      <c r="D98" s="88" t="s">
        <v>313</v>
      </c>
      <c r="E98" s="89">
        <v>283</v>
      </c>
      <c r="F98" s="89">
        <v>17592</v>
      </c>
      <c r="G98" s="89">
        <v>17926</v>
      </c>
      <c r="H98" s="89">
        <v>379751</v>
      </c>
      <c r="I98" s="89">
        <v>30584</v>
      </c>
      <c r="J98" s="89">
        <v>3292</v>
      </c>
      <c r="K98" s="89">
        <v>21398</v>
      </c>
      <c r="L98" s="89">
        <v>50849</v>
      </c>
      <c r="M98" s="89">
        <v>993974</v>
      </c>
      <c r="N98" s="89">
        <v>898</v>
      </c>
      <c r="O98" s="89">
        <v>39009</v>
      </c>
      <c r="P98" s="89">
        <v>181473</v>
      </c>
      <c r="Q98" s="89">
        <v>18709</v>
      </c>
      <c r="R98" s="89">
        <v>1755738</v>
      </c>
      <c r="S98" s="88" t="s">
        <v>312</v>
      </c>
      <c r="T98" s="252" t="s">
        <v>92</v>
      </c>
      <c r="U98" s="263"/>
    </row>
    <row r="99" spans="2:21" x14ac:dyDescent="0.35">
      <c r="B99" s="234"/>
      <c r="C99" s="251"/>
      <c r="D99" s="90" t="s">
        <v>345</v>
      </c>
      <c r="E99" s="91">
        <v>455026.06</v>
      </c>
      <c r="F99" s="91">
        <v>115586081.48999999</v>
      </c>
      <c r="G99" s="91">
        <v>55071121.030000001</v>
      </c>
      <c r="H99" s="91">
        <v>669147608.37</v>
      </c>
      <c r="I99" s="91">
        <v>131364701.59</v>
      </c>
      <c r="J99" s="91">
        <v>6348350.0999999996</v>
      </c>
      <c r="K99" s="91">
        <v>42210378.170000002</v>
      </c>
      <c r="L99" s="91">
        <v>221505454.40000001</v>
      </c>
      <c r="M99" s="91">
        <v>6671274748.04</v>
      </c>
      <c r="N99" s="91">
        <v>828936.71</v>
      </c>
      <c r="O99" s="91">
        <v>106393000.36</v>
      </c>
      <c r="P99" s="91">
        <v>612818402.07000005</v>
      </c>
      <c r="Q99" s="91">
        <v>84696172.120000005</v>
      </c>
      <c r="R99" s="89">
        <v>8717699980.5100002</v>
      </c>
      <c r="S99" s="90" t="s">
        <v>344</v>
      </c>
      <c r="T99" s="253"/>
      <c r="U99" s="263"/>
    </row>
    <row r="100" spans="2:21" x14ac:dyDescent="0.35">
      <c r="B100" s="234"/>
      <c r="C100" s="250" t="s">
        <v>77</v>
      </c>
      <c r="D100" s="88" t="s">
        <v>313</v>
      </c>
      <c r="E100" s="89">
        <v>3754</v>
      </c>
      <c r="F100" s="89">
        <v>15187</v>
      </c>
      <c r="G100" s="89">
        <v>17792</v>
      </c>
      <c r="H100" s="89">
        <v>447222</v>
      </c>
      <c r="I100" s="89">
        <v>44342</v>
      </c>
      <c r="J100" s="89"/>
      <c r="K100" s="89">
        <v>23157</v>
      </c>
      <c r="L100" s="89">
        <v>32565</v>
      </c>
      <c r="M100" s="89">
        <v>1261476</v>
      </c>
      <c r="N100" s="89">
        <v>476</v>
      </c>
      <c r="O100" s="89">
        <v>49688</v>
      </c>
      <c r="P100" s="89">
        <v>230458</v>
      </c>
      <c r="Q100" s="89">
        <v>12295</v>
      </c>
      <c r="R100" s="89">
        <v>2138412</v>
      </c>
      <c r="S100" s="88" t="s">
        <v>312</v>
      </c>
      <c r="T100" s="252" t="s">
        <v>93</v>
      </c>
      <c r="U100" s="263"/>
    </row>
    <row r="101" spans="2:21" x14ac:dyDescent="0.35">
      <c r="B101" s="234"/>
      <c r="C101" s="251"/>
      <c r="D101" s="90" t="s">
        <v>345</v>
      </c>
      <c r="E101" s="91">
        <v>13588155.66</v>
      </c>
      <c r="F101" s="91">
        <v>101312837.68000001</v>
      </c>
      <c r="G101" s="91">
        <v>46279688.259999998</v>
      </c>
      <c r="H101" s="91">
        <v>543963353.95000005</v>
      </c>
      <c r="I101" s="91">
        <v>185939033.33000001</v>
      </c>
      <c r="J101" s="91"/>
      <c r="K101" s="91">
        <v>33073751.530000001</v>
      </c>
      <c r="L101" s="91">
        <v>143133049.40000001</v>
      </c>
      <c r="M101" s="91">
        <v>7650130589.1400003</v>
      </c>
      <c r="N101" s="91">
        <v>382002.65</v>
      </c>
      <c r="O101" s="91">
        <v>93081860.780000001</v>
      </c>
      <c r="P101" s="91">
        <v>777851591.83000004</v>
      </c>
      <c r="Q101" s="91">
        <v>93212238.650000006</v>
      </c>
      <c r="R101" s="89">
        <v>9681948152.8600006</v>
      </c>
      <c r="S101" s="90" t="s">
        <v>344</v>
      </c>
      <c r="T101" s="253"/>
      <c r="U101" s="263"/>
    </row>
    <row r="102" spans="2:21" x14ac:dyDescent="0.35">
      <c r="B102" s="234"/>
      <c r="C102" s="250" t="s">
        <v>78</v>
      </c>
      <c r="D102" s="88" t="s">
        <v>313</v>
      </c>
      <c r="E102" s="89"/>
      <c r="F102" s="89">
        <v>20172</v>
      </c>
      <c r="G102" s="89">
        <v>3542</v>
      </c>
      <c r="H102" s="89">
        <v>298900</v>
      </c>
      <c r="I102" s="89">
        <v>22170</v>
      </c>
      <c r="J102" s="89"/>
      <c r="K102" s="89">
        <v>18725</v>
      </c>
      <c r="L102" s="89">
        <v>27125</v>
      </c>
      <c r="M102" s="89">
        <v>1311084</v>
      </c>
      <c r="N102" s="89">
        <v>297</v>
      </c>
      <c r="O102" s="89">
        <v>40033</v>
      </c>
      <c r="P102" s="89">
        <v>221288</v>
      </c>
      <c r="Q102" s="89">
        <v>8170</v>
      </c>
      <c r="R102" s="89">
        <v>1971506</v>
      </c>
      <c r="S102" s="88" t="s">
        <v>312</v>
      </c>
      <c r="T102" s="252" t="s">
        <v>94</v>
      </c>
      <c r="U102" s="263"/>
    </row>
    <row r="103" spans="2:21" x14ac:dyDescent="0.35">
      <c r="B103" s="234"/>
      <c r="C103" s="251"/>
      <c r="D103" s="90" t="s">
        <v>345</v>
      </c>
      <c r="E103" s="91"/>
      <c r="F103" s="91">
        <v>148580571.31</v>
      </c>
      <c r="G103" s="91">
        <v>7134762.5999999996</v>
      </c>
      <c r="H103" s="91">
        <v>610047347.35000002</v>
      </c>
      <c r="I103" s="91">
        <v>95519799.129999995</v>
      </c>
      <c r="J103" s="91"/>
      <c r="K103" s="91">
        <v>32619787.280000001</v>
      </c>
      <c r="L103" s="91">
        <v>153011022.49000001</v>
      </c>
      <c r="M103" s="91">
        <v>8134393982.9499998</v>
      </c>
      <c r="N103" s="91">
        <v>518911.87</v>
      </c>
      <c r="O103" s="91">
        <v>175676072.84</v>
      </c>
      <c r="P103" s="91">
        <v>1007609677.36</v>
      </c>
      <c r="Q103" s="91">
        <v>45061443.770000003</v>
      </c>
      <c r="R103" s="89">
        <v>10410173378.950001</v>
      </c>
      <c r="S103" s="90" t="s">
        <v>344</v>
      </c>
      <c r="T103" s="253"/>
      <c r="U103" s="263"/>
    </row>
    <row r="104" spans="2:21" x14ac:dyDescent="0.35">
      <c r="B104" s="234"/>
      <c r="C104" s="250" t="s">
        <v>79</v>
      </c>
      <c r="D104" s="88" t="s">
        <v>313</v>
      </c>
      <c r="E104" s="89"/>
      <c r="F104" s="89">
        <v>32686</v>
      </c>
      <c r="G104" s="89">
        <v>2604</v>
      </c>
      <c r="H104" s="89">
        <v>276219</v>
      </c>
      <c r="I104" s="89">
        <v>33046</v>
      </c>
      <c r="J104" s="89"/>
      <c r="K104" s="89">
        <v>69932</v>
      </c>
      <c r="L104" s="89">
        <v>35075</v>
      </c>
      <c r="M104" s="89">
        <v>1692527</v>
      </c>
      <c r="N104" s="89">
        <v>64</v>
      </c>
      <c r="O104" s="89">
        <v>32930</v>
      </c>
      <c r="P104" s="89">
        <v>214531</v>
      </c>
      <c r="Q104" s="89">
        <v>26983</v>
      </c>
      <c r="R104" s="89">
        <v>2416597</v>
      </c>
      <c r="S104" s="88" t="s">
        <v>312</v>
      </c>
      <c r="T104" s="252" t="s">
        <v>95</v>
      </c>
      <c r="U104" s="263"/>
    </row>
    <row r="105" spans="2:21" x14ac:dyDescent="0.35">
      <c r="B105" s="234"/>
      <c r="C105" s="251"/>
      <c r="D105" s="90" t="s">
        <v>345</v>
      </c>
      <c r="E105" s="91"/>
      <c r="F105" s="91">
        <v>203971205.66999999</v>
      </c>
      <c r="G105" s="91">
        <v>4749776.3600000003</v>
      </c>
      <c r="H105" s="91">
        <v>505361419.51999998</v>
      </c>
      <c r="I105" s="91">
        <v>95196747.510000005</v>
      </c>
      <c r="J105" s="91"/>
      <c r="K105" s="91">
        <v>154728449.65000001</v>
      </c>
      <c r="L105" s="91">
        <v>223659987.58000001</v>
      </c>
      <c r="M105" s="91">
        <v>12024397243.67</v>
      </c>
      <c r="N105" s="91">
        <v>265918.49</v>
      </c>
      <c r="O105" s="91">
        <v>87503861.219999999</v>
      </c>
      <c r="P105" s="91">
        <v>1040679029.23</v>
      </c>
      <c r="Q105" s="91">
        <v>251232196.91999999</v>
      </c>
      <c r="R105" s="89">
        <v>14591745835.82</v>
      </c>
      <c r="S105" s="90" t="s">
        <v>344</v>
      </c>
      <c r="T105" s="253"/>
      <c r="U105" s="263"/>
    </row>
    <row r="106" spans="2:21" x14ac:dyDescent="0.35">
      <c r="B106" s="234"/>
      <c r="C106" s="250" t="s">
        <v>80</v>
      </c>
      <c r="D106" s="88" t="s">
        <v>313</v>
      </c>
      <c r="E106" s="89"/>
      <c r="F106" s="89">
        <v>34407</v>
      </c>
      <c r="G106" s="89">
        <v>4002</v>
      </c>
      <c r="H106" s="89">
        <v>319825</v>
      </c>
      <c r="I106" s="89">
        <v>12449</v>
      </c>
      <c r="J106" s="89">
        <v>84</v>
      </c>
      <c r="K106" s="89">
        <v>30037</v>
      </c>
      <c r="L106" s="89">
        <v>46801</v>
      </c>
      <c r="M106" s="89">
        <v>1727118</v>
      </c>
      <c r="N106" s="89">
        <v>157</v>
      </c>
      <c r="O106" s="89">
        <v>52129</v>
      </c>
      <c r="P106" s="89">
        <v>291117</v>
      </c>
      <c r="Q106" s="89">
        <v>23521</v>
      </c>
      <c r="R106" s="89">
        <v>2541647</v>
      </c>
      <c r="S106" s="88" t="s">
        <v>312</v>
      </c>
      <c r="T106" s="252" t="s">
        <v>96</v>
      </c>
      <c r="U106" s="263"/>
    </row>
    <row r="107" spans="2:21" x14ac:dyDescent="0.35">
      <c r="B107" s="234"/>
      <c r="C107" s="251"/>
      <c r="D107" s="90" t="s">
        <v>345</v>
      </c>
      <c r="E107" s="91"/>
      <c r="F107" s="91">
        <v>197112930.00999999</v>
      </c>
      <c r="G107" s="91">
        <v>8791241.4700000007</v>
      </c>
      <c r="H107" s="91">
        <v>611716523.33000004</v>
      </c>
      <c r="I107" s="91">
        <v>30500018.149999999</v>
      </c>
      <c r="J107" s="91">
        <v>118504.25</v>
      </c>
      <c r="K107" s="91">
        <v>121463853.37</v>
      </c>
      <c r="L107" s="91">
        <v>185801268.72999999</v>
      </c>
      <c r="M107" s="91">
        <v>10774817463.290001</v>
      </c>
      <c r="N107" s="91">
        <v>193506.81</v>
      </c>
      <c r="O107" s="91">
        <v>163057951.91999999</v>
      </c>
      <c r="P107" s="91">
        <v>1320235002.23</v>
      </c>
      <c r="Q107" s="91">
        <v>173575972.02000001</v>
      </c>
      <c r="R107" s="89">
        <v>13587384235.58</v>
      </c>
      <c r="S107" s="90" t="s">
        <v>344</v>
      </c>
      <c r="T107" s="253"/>
      <c r="U107" s="263"/>
    </row>
    <row r="108" spans="2:21" x14ac:dyDescent="0.35">
      <c r="B108" s="234"/>
      <c r="C108" s="250" t="s">
        <v>81</v>
      </c>
      <c r="D108" s="88" t="s">
        <v>313</v>
      </c>
      <c r="E108" s="89">
        <v>1174</v>
      </c>
      <c r="F108" s="89">
        <v>34188</v>
      </c>
      <c r="G108" s="89">
        <v>4579</v>
      </c>
      <c r="H108" s="89">
        <v>440230</v>
      </c>
      <c r="I108" s="89">
        <v>15814</v>
      </c>
      <c r="J108" s="89">
        <v>2337</v>
      </c>
      <c r="K108" s="89">
        <v>38963</v>
      </c>
      <c r="L108" s="89">
        <v>71429</v>
      </c>
      <c r="M108" s="89">
        <v>2075388</v>
      </c>
      <c r="N108" s="89">
        <v>15206</v>
      </c>
      <c r="O108" s="89">
        <v>54899</v>
      </c>
      <c r="P108" s="89">
        <v>372505</v>
      </c>
      <c r="Q108" s="89">
        <v>20053</v>
      </c>
      <c r="R108" s="89">
        <v>3146765</v>
      </c>
      <c r="S108" s="88" t="s">
        <v>312</v>
      </c>
      <c r="T108" s="252" t="s">
        <v>97</v>
      </c>
      <c r="U108" s="263"/>
    </row>
    <row r="109" spans="2:21" x14ac:dyDescent="0.35">
      <c r="B109" s="235"/>
      <c r="C109" s="251"/>
      <c r="D109" s="90" t="s">
        <v>345</v>
      </c>
      <c r="E109" s="91">
        <v>2511837.89</v>
      </c>
      <c r="F109" s="91">
        <v>146845728.84999999</v>
      </c>
      <c r="G109" s="91">
        <v>12360704.77</v>
      </c>
      <c r="H109" s="91">
        <v>825887429.5</v>
      </c>
      <c r="I109" s="91">
        <v>37341825.75</v>
      </c>
      <c r="J109" s="91">
        <v>20539952.350000001</v>
      </c>
      <c r="K109" s="91">
        <v>164903438.5</v>
      </c>
      <c r="L109" s="91">
        <v>397001084.70999998</v>
      </c>
      <c r="M109" s="91">
        <v>13765027982.52</v>
      </c>
      <c r="N109" s="91">
        <v>45830785.619999997</v>
      </c>
      <c r="O109" s="91">
        <v>172902493.08000001</v>
      </c>
      <c r="P109" s="91">
        <v>1516953074.9200001</v>
      </c>
      <c r="Q109" s="91">
        <v>159680408.28999999</v>
      </c>
      <c r="R109" s="91">
        <v>17267786746.75</v>
      </c>
      <c r="S109" s="90" t="s">
        <v>344</v>
      </c>
      <c r="T109" s="253"/>
      <c r="U109" s="264"/>
    </row>
    <row r="110" spans="2:21" x14ac:dyDescent="0.35">
      <c r="B110" s="254" t="s">
        <v>82</v>
      </c>
      <c r="C110" s="255"/>
      <c r="D110" s="92" t="s">
        <v>313</v>
      </c>
      <c r="E110" s="93">
        <v>8111</v>
      </c>
      <c r="F110" s="93">
        <v>317380</v>
      </c>
      <c r="G110" s="93">
        <v>157522</v>
      </c>
      <c r="H110" s="93">
        <v>4997672</v>
      </c>
      <c r="I110" s="93">
        <v>326194</v>
      </c>
      <c r="J110" s="93">
        <v>13339</v>
      </c>
      <c r="K110" s="93">
        <v>330981</v>
      </c>
      <c r="L110" s="93">
        <v>438719</v>
      </c>
      <c r="M110" s="93">
        <v>19570389</v>
      </c>
      <c r="N110" s="93">
        <v>24347</v>
      </c>
      <c r="O110" s="93">
        <v>527985</v>
      </c>
      <c r="P110" s="93">
        <v>2860722</v>
      </c>
      <c r="Q110" s="93">
        <v>154082</v>
      </c>
      <c r="R110" s="93">
        <v>29727443</v>
      </c>
      <c r="S110" s="92" t="s">
        <v>312</v>
      </c>
      <c r="T110" s="258" t="s">
        <v>98</v>
      </c>
      <c r="U110" s="259"/>
    </row>
    <row r="111" spans="2:21" x14ac:dyDescent="0.35">
      <c r="B111" s="256"/>
      <c r="C111" s="257"/>
      <c r="D111" s="94" t="s">
        <v>345</v>
      </c>
      <c r="E111" s="93">
        <v>22176634.350000001</v>
      </c>
      <c r="F111" s="93">
        <v>1765418769.4400001</v>
      </c>
      <c r="G111" s="93">
        <v>515613945.29000002</v>
      </c>
      <c r="H111" s="93">
        <v>8665550660.5200005</v>
      </c>
      <c r="I111" s="93">
        <v>1359357655.96</v>
      </c>
      <c r="J111" s="93">
        <v>53446222.170000002</v>
      </c>
      <c r="K111" s="93">
        <v>767945033.50999999</v>
      </c>
      <c r="L111" s="93">
        <v>1842169763.9100001</v>
      </c>
      <c r="M111" s="93">
        <v>140770266448.95001</v>
      </c>
      <c r="N111" s="93">
        <v>56220975.079999998</v>
      </c>
      <c r="O111" s="93">
        <v>1200179900.53</v>
      </c>
      <c r="P111" s="93">
        <v>10573647825.02</v>
      </c>
      <c r="Q111" s="93">
        <v>932180511.59000003</v>
      </c>
      <c r="R111" s="93">
        <v>168524174346.32001</v>
      </c>
      <c r="S111" s="94" t="s">
        <v>344</v>
      </c>
      <c r="T111" s="260"/>
      <c r="U111" s="261"/>
    </row>
    <row r="112" spans="2:21" x14ac:dyDescent="0.35">
      <c r="B112" s="236">
        <v>2025</v>
      </c>
      <c r="C112" s="250" t="s">
        <v>70</v>
      </c>
      <c r="D112" s="88" t="s">
        <v>313</v>
      </c>
      <c r="E112" s="89"/>
      <c r="F112" s="89">
        <v>46435</v>
      </c>
      <c r="G112" s="89">
        <v>7577</v>
      </c>
      <c r="H112" s="89">
        <v>571562</v>
      </c>
      <c r="I112" s="89">
        <v>21828</v>
      </c>
      <c r="J112" s="89">
        <v>46</v>
      </c>
      <c r="K112" s="89">
        <v>52381</v>
      </c>
      <c r="L112" s="89">
        <v>50016</v>
      </c>
      <c r="M112" s="89">
        <v>2415634</v>
      </c>
      <c r="N112" s="89">
        <v>21792</v>
      </c>
      <c r="O112" s="89">
        <v>52440</v>
      </c>
      <c r="P112" s="89">
        <v>286184</v>
      </c>
      <c r="Q112" s="89">
        <v>27409</v>
      </c>
      <c r="R112" s="89">
        <v>3553304</v>
      </c>
      <c r="S112" s="88" t="s">
        <v>312</v>
      </c>
      <c r="T112" s="252" t="s">
        <v>86</v>
      </c>
      <c r="U112" s="236">
        <v>2025</v>
      </c>
    </row>
    <row r="113" spans="2:21" x14ac:dyDescent="0.35">
      <c r="B113" s="237"/>
      <c r="C113" s="251"/>
      <c r="D113" s="90" t="s">
        <v>345</v>
      </c>
      <c r="E113" s="91"/>
      <c r="F113" s="91">
        <v>220050440.40000001</v>
      </c>
      <c r="G113" s="91">
        <v>23559524.73</v>
      </c>
      <c r="H113" s="91">
        <v>648789505.64999998</v>
      </c>
      <c r="I113" s="91">
        <v>46016049.450000003</v>
      </c>
      <c r="J113" s="91">
        <v>61789.31</v>
      </c>
      <c r="K113" s="91">
        <v>161455728.53999999</v>
      </c>
      <c r="L113" s="91">
        <v>168367121.37</v>
      </c>
      <c r="M113" s="91">
        <v>14491623438.030001</v>
      </c>
      <c r="N113" s="91">
        <v>85723606.099999994</v>
      </c>
      <c r="O113" s="91">
        <v>100316523.89</v>
      </c>
      <c r="P113" s="91">
        <v>709296318.66999996</v>
      </c>
      <c r="Q113" s="91">
        <v>136717258.22</v>
      </c>
      <c r="R113" s="89">
        <v>16791977304.360001</v>
      </c>
      <c r="S113" s="90" t="s">
        <v>344</v>
      </c>
      <c r="T113" s="253"/>
      <c r="U113" s="237"/>
    </row>
    <row r="114" spans="2:21" x14ac:dyDescent="0.35">
      <c r="B114" s="237"/>
      <c r="C114" s="250" t="s">
        <v>71</v>
      </c>
      <c r="D114" s="88" t="s">
        <v>313</v>
      </c>
      <c r="E114" s="89">
        <v>739</v>
      </c>
      <c r="F114" s="89">
        <v>33555</v>
      </c>
      <c r="G114" s="89">
        <v>48556</v>
      </c>
      <c r="H114" s="89">
        <v>359398</v>
      </c>
      <c r="I114" s="89">
        <v>8662</v>
      </c>
      <c r="J114" s="89"/>
      <c r="K114" s="89">
        <v>39985</v>
      </c>
      <c r="L114" s="89">
        <v>71895</v>
      </c>
      <c r="M114" s="89">
        <v>2310402</v>
      </c>
      <c r="N114" s="89">
        <v>1757</v>
      </c>
      <c r="O114" s="89">
        <v>29107</v>
      </c>
      <c r="P114" s="89">
        <v>222262</v>
      </c>
      <c r="Q114" s="89">
        <v>19185</v>
      </c>
      <c r="R114" s="89">
        <v>3145503</v>
      </c>
      <c r="S114" s="88" t="s">
        <v>312</v>
      </c>
      <c r="T114" s="252" t="s">
        <v>87</v>
      </c>
      <c r="U114" s="237"/>
    </row>
    <row r="115" spans="2:21" x14ac:dyDescent="0.35">
      <c r="B115" s="237"/>
      <c r="C115" s="251"/>
      <c r="D115" s="90" t="s">
        <v>345</v>
      </c>
      <c r="E115" s="91">
        <v>1753939.82</v>
      </c>
      <c r="F115" s="91">
        <v>154383423.72999999</v>
      </c>
      <c r="G115" s="91">
        <v>189144991.53999999</v>
      </c>
      <c r="H115" s="91">
        <v>569000520.65999997</v>
      </c>
      <c r="I115" s="91">
        <v>16289229.02</v>
      </c>
      <c r="J115" s="91"/>
      <c r="K115" s="91">
        <v>126007446.61</v>
      </c>
      <c r="L115" s="91">
        <v>476828709.91000003</v>
      </c>
      <c r="M115" s="91">
        <v>15755443045.1</v>
      </c>
      <c r="N115" s="91">
        <v>7605536.3499999996</v>
      </c>
      <c r="O115" s="91">
        <v>46016915.350000001</v>
      </c>
      <c r="P115" s="91">
        <v>740460530.36000001</v>
      </c>
      <c r="Q115" s="91">
        <v>116629469.98999999</v>
      </c>
      <c r="R115" s="89">
        <v>18199563758.439999</v>
      </c>
      <c r="S115" s="90" t="s">
        <v>344</v>
      </c>
      <c r="T115" s="253"/>
      <c r="U115" s="237"/>
    </row>
    <row r="116" spans="2:21" x14ac:dyDescent="0.35">
      <c r="B116" s="237"/>
      <c r="C116" s="250" t="s">
        <v>72</v>
      </c>
      <c r="D116" s="88" t="s">
        <v>313</v>
      </c>
      <c r="E116" s="89"/>
      <c r="F116" s="89">
        <v>29750</v>
      </c>
      <c r="G116" s="89">
        <v>12808</v>
      </c>
      <c r="H116" s="89">
        <v>358041</v>
      </c>
      <c r="I116" s="89">
        <v>22502</v>
      </c>
      <c r="J116" s="89">
        <v>605</v>
      </c>
      <c r="K116" s="89">
        <v>47745</v>
      </c>
      <c r="L116" s="89">
        <v>59070</v>
      </c>
      <c r="M116" s="89">
        <v>2148836</v>
      </c>
      <c r="N116" s="89"/>
      <c r="O116" s="89">
        <v>16167</v>
      </c>
      <c r="P116" s="89">
        <v>161310</v>
      </c>
      <c r="Q116" s="89">
        <v>30541</v>
      </c>
      <c r="R116" s="89">
        <v>2887375</v>
      </c>
      <c r="S116" s="88" t="s">
        <v>312</v>
      </c>
      <c r="T116" s="252" t="s">
        <v>88</v>
      </c>
      <c r="U116" s="237"/>
    </row>
    <row r="117" spans="2:21" x14ac:dyDescent="0.35">
      <c r="B117" s="237"/>
      <c r="C117" s="251"/>
      <c r="D117" s="90" t="s">
        <v>345</v>
      </c>
      <c r="E117" s="91"/>
      <c r="F117" s="91">
        <v>125387246.87</v>
      </c>
      <c r="G117" s="91">
        <v>47154403.689999998</v>
      </c>
      <c r="H117" s="91">
        <v>420684880.97000003</v>
      </c>
      <c r="I117" s="91">
        <v>48595011.640000001</v>
      </c>
      <c r="J117" s="91">
        <v>4150049.73</v>
      </c>
      <c r="K117" s="91">
        <v>109580437.53</v>
      </c>
      <c r="L117" s="91">
        <v>224661508.84</v>
      </c>
      <c r="M117" s="91">
        <v>14968567007.5</v>
      </c>
      <c r="N117" s="91"/>
      <c r="O117" s="91">
        <v>32942141.52</v>
      </c>
      <c r="P117" s="91">
        <v>642221262.17999995</v>
      </c>
      <c r="Q117" s="91">
        <v>192423659.91</v>
      </c>
      <c r="R117" s="89">
        <v>16816367610.379999</v>
      </c>
      <c r="S117" s="90" t="s">
        <v>344</v>
      </c>
      <c r="T117" s="253"/>
      <c r="U117" s="237"/>
    </row>
    <row r="118" spans="2:21" x14ac:dyDescent="0.35">
      <c r="B118" s="237"/>
      <c r="C118" s="250" t="s">
        <v>73</v>
      </c>
      <c r="D118" s="88" t="s">
        <v>313</v>
      </c>
      <c r="E118" s="89"/>
      <c r="F118" s="89">
        <v>10524</v>
      </c>
      <c r="G118" s="89">
        <v>7895</v>
      </c>
      <c r="H118" s="89">
        <v>262404</v>
      </c>
      <c r="I118" s="89">
        <v>6269</v>
      </c>
      <c r="J118" s="89">
        <v>672</v>
      </c>
      <c r="K118" s="89">
        <v>61212</v>
      </c>
      <c r="L118" s="89">
        <v>33696</v>
      </c>
      <c r="M118" s="89">
        <v>1023971</v>
      </c>
      <c r="N118" s="89"/>
      <c r="O118" s="89">
        <v>34879</v>
      </c>
      <c r="P118" s="89">
        <v>161521</v>
      </c>
      <c r="Q118" s="89">
        <v>15009</v>
      </c>
      <c r="R118" s="89">
        <v>1618052</v>
      </c>
      <c r="S118" s="88" t="s">
        <v>312</v>
      </c>
      <c r="T118" s="252" t="s">
        <v>89</v>
      </c>
      <c r="U118" s="237"/>
    </row>
    <row r="119" spans="2:21" x14ac:dyDescent="0.35">
      <c r="B119" s="237"/>
      <c r="C119" s="251"/>
      <c r="D119" s="90" t="s">
        <v>345</v>
      </c>
      <c r="E119" s="91"/>
      <c r="F119" s="91">
        <v>33394921.75</v>
      </c>
      <c r="G119" s="91">
        <v>26994260.600000001</v>
      </c>
      <c r="H119" s="91">
        <v>407100945.35000002</v>
      </c>
      <c r="I119" s="91">
        <v>9075969.9900000002</v>
      </c>
      <c r="J119" s="91">
        <v>2717035.57</v>
      </c>
      <c r="K119" s="91">
        <v>127188960.84</v>
      </c>
      <c r="L119" s="91">
        <v>148222940.05000001</v>
      </c>
      <c r="M119" s="91">
        <v>5911160098.1400003</v>
      </c>
      <c r="N119" s="91"/>
      <c r="O119" s="91">
        <v>55729992.869999997</v>
      </c>
      <c r="P119" s="91">
        <v>505015673.94</v>
      </c>
      <c r="Q119" s="91">
        <v>114823026.90000001</v>
      </c>
      <c r="R119" s="89">
        <v>7341423826</v>
      </c>
      <c r="S119" s="90" t="s">
        <v>344</v>
      </c>
      <c r="T119" s="253"/>
      <c r="U119" s="237"/>
    </row>
    <row r="120" spans="2:21" x14ac:dyDescent="0.35">
      <c r="B120" s="237"/>
      <c r="C120" s="250" t="s">
        <v>74</v>
      </c>
      <c r="D120" s="88" t="s">
        <v>313</v>
      </c>
      <c r="E120" s="89">
        <v>615</v>
      </c>
      <c r="F120" s="89">
        <v>9139</v>
      </c>
      <c r="G120" s="89">
        <v>3454</v>
      </c>
      <c r="H120" s="89">
        <v>243584</v>
      </c>
      <c r="I120" s="89">
        <v>5491</v>
      </c>
      <c r="J120" s="89">
        <v>181</v>
      </c>
      <c r="K120" s="89">
        <v>27931</v>
      </c>
      <c r="L120" s="89">
        <v>53183</v>
      </c>
      <c r="M120" s="89">
        <v>258426</v>
      </c>
      <c r="N120" s="89">
        <v>2516</v>
      </c>
      <c r="O120" s="89">
        <v>21763</v>
      </c>
      <c r="P120" s="89">
        <v>99803</v>
      </c>
      <c r="Q120" s="89">
        <v>13301</v>
      </c>
      <c r="R120" s="89">
        <v>739387</v>
      </c>
      <c r="S120" s="88" t="s">
        <v>312</v>
      </c>
      <c r="T120" s="252" t="s">
        <v>90</v>
      </c>
      <c r="U120" s="237"/>
    </row>
    <row r="121" spans="2:21" x14ac:dyDescent="0.35">
      <c r="B121" s="237"/>
      <c r="C121" s="251"/>
      <c r="D121" s="90" t="s">
        <v>345</v>
      </c>
      <c r="E121" s="91">
        <v>6219077.1399999997</v>
      </c>
      <c r="F121" s="91">
        <v>55319734.18</v>
      </c>
      <c r="G121" s="91">
        <v>10383284.65</v>
      </c>
      <c r="H121" s="91">
        <v>741749716.62</v>
      </c>
      <c r="I121" s="91">
        <v>10926156.73</v>
      </c>
      <c r="J121" s="91">
        <v>502732.04</v>
      </c>
      <c r="K121" s="91">
        <v>65838690.270000003</v>
      </c>
      <c r="L121" s="91">
        <v>376878786.42000002</v>
      </c>
      <c r="M121" s="91">
        <v>1840810242.6900001</v>
      </c>
      <c r="N121" s="91">
        <v>2432584.31</v>
      </c>
      <c r="O121" s="91">
        <v>28600973.809999999</v>
      </c>
      <c r="P121" s="91">
        <v>444575358.88</v>
      </c>
      <c r="Q121" s="91">
        <v>110332234.95999999</v>
      </c>
      <c r="R121" s="89">
        <v>3694569572.6999998</v>
      </c>
      <c r="S121" s="90" t="s">
        <v>344</v>
      </c>
      <c r="T121" s="253"/>
      <c r="U121" s="237"/>
    </row>
    <row r="122" spans="2:21" x14ac:dyDescent="0.35">
      <c r="B122" s="237"/>
      <c r="C122" s="250" t="s">
        <v>75</v>
      </c>
      <c r="D122" s="88" t="s">
        <v>313</v>
      </c>
      <c r="E122" s="89">
        <v>624</v>
      </c>
      <c r="F122" s="89">
        <v>12675</v>
      </c>
      <c r="G122" s="89">
        <v>11111</v>
      </c>
      <c r="H122" s="89">
        <v>232023</v>
      </c>
      <c r="I122" s="89">
        <v>13854</v>
      </c>
      <c r="J122" s="89">
        <v>283</v>
      </c>
      <c r="K122" s="89">
        <v>27152</v>
      </c>
      <c r="L122" s="89">
        <v>52896</v>
      </c>
      <c r="M122" s="89">
        <v>1858747</v>
      </c>
      <c r="N122" s="89">
        <v>6403</v>
      </c>
      <c r="O122" s="89">
        <v>31749</v>
      </c>
      <c r="P122" s="89">
        <v>104013</v>
      </c>
      <c r="Q122" s="89">
        <v>12749</v>
      </c>
      <c r="R122" s="89">
        <v>2364279</v>
      </c>
      <c r="S122" s="88" t="s">
        <v>312</v>
      </c>
      <c r="T122" s="252" t="s">
        <v>91</v>
      </c>
      <c r="U122" s="237"/>
    </row>
    <row r="123" spans="2:21" x14ac:dyDescent="0.35">
      <c r="B123" s="237"/>
      <c r="C123" s="251"/>
      <c r="D123" s="90" t="s">
        <v>345</v>
      </c>
      <c r="E123" s="91">
        <v>4023421.79</v>
      </c>
      <c r="F123" s="91">
        <v>60250293.25</v>
      </c>
      <c r="G123" s="91">
        <v>35422473.229999997</v>
      </c>
      <c r="H123" s="91">
        <v>608800699.40999997</v>
      </c>
      <c r="I123" s="91">
        <v>26081367.640000001</v>
      </c>
      <c r="J123" s="91">
        <v>297169.90999999997</v>
      </c>
      <c r="K123" s="91">
        <v>80836270.870000005</v>
      </c>
      <c r="L123" s="91">
        <v>268311564.43000001</v>
      </c>
      <c r="M123" s="91">
        <v>25727218324.110001</v>
      </c>
      <c r="N123" s="91">
        <v>11841382.449999999</v>
      </c>
      <c r="O123" s="91">
        <v>33511513.960000001</v>
      </c>
      <c r="P123" s="91">
        <v>508735983.73000002</v>
      </c>
      <c r="Q123" s="91">
        <v>109748949.97</v>
      </c>
      <c r="R123" s="89">
        <v>27475079414.75</v>
      </c>
      <c r="S123" s="90" t="s">
        <v>344</v>
      </c>
      <c r="T123" s="253"/>
      <c r="U123" s="237"/>
    </row>
    <row r="124" spans="2:21" x14ac:dyDescent="0.35">
      <c r="B124" s="237"/>
      <c r="C124" s="250" t="s">
        <v>76</v>
      </c>
      <c r="D124" s="88" t="s">
        <v>313</v>
      </c>
      <c r="E124" s="89">
        <v>12</v>
      </c>
      <c r="F124" s="89">
        <v>15510</v>
      </c>
      <c r="G124" s="89">
        <v>12772</v>
      </c>
      <c r="H124" s="89">
        <v>313150</v>
      </c>
      <c r="I124" s="89">
        <v>31163</v>
      </c>
      <c r="J124" s="89">
        <v>3005</v>
      </c>
      <c r="K124" s="89">
        <v>18159</v>
      </c>
      <c r="L124" s="89">
        <v>66106</v>
      </c>
      <c r="M124" s="89">
        <v>1461405</v>
      </c>
      <c r="N124" s="89">
        <v>8148</v>
      </c>
      <c r="O124" s="89">
        <v>54291</v>
      </c>
      <c r="P124" s="89">
        <v>166915</v>
      </c>
      <c r="Q124" s="89">
        <v>27403</v>
      </c>
      <c r="R124" s="89">
        <v>2178039</v>
      </c>
      <c r="S124" s="88" t="s">
        <v>312</v>
      </c>
      <c r="T124" s="252" t="s">
        <v>92</v>
      </c>
      <c r="U124" s="237"/>
    </row>
    <row r="125" spans="2:21" x14ac:dyDescent="0.35">
      <c r="B125" s="237"/>
      <c r="C125" s="251"/>
      <c r="D125" s="90" t="s">
        <v>345</v>
      </c>
      <c r="E125" s="91">
        <v>10025.24</v>
      </c>
      <c r="F125" s="91">
        <v>90395091.239999995</v>
      </c>
      <c r="G125" s="91">
        <v>44986075.729999997</v>
      </c>
      <c r="H125" s="91">
        <v>557409830.38999999</v>
      </c>
      <c r="I125" s="91">
        <v>164151345.16</v>
      </c>
      <c r="J125" s="91">
        <v>9620924.8900000006</v>
      </c>
      <c r="K125" s="91">
        <v>23058859.75</v>
      </c>
      <c r="L125" s="91">
        <v>263252608.81</v>
      </c>
      <c r="M125" s="91">
        <v>10687556981.84</v>
      </c>
      <c r="N125" s="91">
        <v>6221192.5700000003</v>
      </c>
      <c r="O125" s="91">
        <v>70143826.790000007</v>
      </c>
      <c r="P125" s="91">
        <v>391649402.61000001</v>
      </c>
      <c r="Q125" s="91">
        <v>119928733.77</v>
      </c>
      <c r="R125" s="89">
        <v>12428384898.790001</v>
      </c>
      <c r="S125" s="90" t="s">
        <v>344</v>
      </c>
      <c r="T125" s="253"/>
      <c r="U125" s="237"/>
    </row>
    <row r="126" spans="2:21" x14ac:dyDescent="0.35">
      <c r="B126" s="237"/>
      <c r="C126" s="250" t="s">
        <v>77</v>
      </c>
      <c r="D126" s="88" t="s">
        <v>313</v>
      </c>
      <c r="E126" s="89">
        <v>3834</v>
      </c>
      <c r="F126" s="89">
        <v>29293</v>
      </c>
      <c r="G126" s="89">
        <v>56202</v>
      </c>
      <c r="H126" s="89">
        <v>322862</v>
      </c>
      <c r="I126" s="89">
        <v>25486</v>
      </c>
      <c r="J126" s="89">
        <v>911</v>
      </c>
      <c r="K126" s="89">
        <v>46091</v>
      </c>
      <c r="L126" s="89">
        <v>78007</v>
      </c>
      <c r="M126" s="89">
        <v>1451252</v>
      </c>
      <c r="N126" s="89">
        <v>3339</v>
      </c>
      <c r="O126" s="89">
        <v>57413</v>
      </c>
      <c r="P126" s="89">
        <v>180366</v>
      </c>
      <c r="Q126" s="89">
        <v>22099</v>
      </c>
      <c r="R126" s="89">
        <v>2277155</v>
      </c>
      <c r="S126" s="88" t="s">
        <v>312</v>
      </c>
      <c r="T126" s="252" t="s">
        <v>93</v>
      </c>
      <c r="U126" s="237"/>
    </row>
    <row r="127" spans="2:21" x14ac:dyDescent="0.35">
      <c r="B127" s="237"/>
      <c r="C127" s="251"/>
      <c r="D127" s="90" t="s">
        <v>345</v>
      </c>
      <c r="E127" s="91">
        <v>24794939.23</v>
      </c>
      <c r="F127" s="91">
        <v>144957457.43000001</v>
      </c>
      <c r="G127" s="91">
        <v>173832013.12</v>
      </c>
      <c r="H127" s="91">
        <v>539821735.38</v>
      </c>
      <c r="I127" s="91">
        <v>47583137.289999999</v>
      </c>
      <c r="J127" s="91">
        <v>773958.73</v>
      </c>
      <c r="K127" s="91">
        <v>136828950.97</v>
      </c>
      <c r="L127" s="91">
        <v>279736566.30000001</v>
      </c>
      <c r="M127" s="91">
        <v>9930773533.4200001</v>
      </c>
      <c r="N127" s="91">
        <v>8717867.4100000001</v>
      </c>
      <c r="O127" s="91">
        <v>65439270.810000002</v>
      </c>
      <c r="P127" s="91">
        <v>742914386.75999999</v>
      </c>
      <c r="Q127" s="91">
        <v>183308251.75</v>
      </c>
      <c r="R127" s="89">
        <v>12279482068.6</v>
      </c>
      <c r="S127" s="90" t="s">
        <v>344</v>
      </c>
      <c r="T127" s="253"/>
      <c r="U127" s="237"/>
    </row>
    <row r="128" spans="2:21" x14ac:dyDescent="0.35">
      <c r="B128" s="237"/>
      <c r="C128" s="250" t="s">
        <v>78</v>
      </c>
      <c r="D128" s="88" t="s">
        <v>313</v>
      </c>
      <c r="E128" s="89"/>
      <c r="F128" s="89">
        <v>37907</v>
      </c>
      <c r="G128" s="89">
        <v>18723</v>
      </c>
      <c r="H128" s="89">
        <v>221637</v>
      </c>
      <c r="I128" s="89">
        <v>31099</v>
      </c>
      <c r="J128" s="89">
        <v>2119</v>
      </c>
      <c r="K128" s="89">
        <v>42176</v>
      </c>
      <c r="L128" s="89">
        <v>62485</v>
      </c>
      <c r="M128" s="89">
        <v>1531904</v>
      </c>
      <c r="N128" s="89">
        <v>2814</v>
      </c>
      <c r="O128" s="89">
        <v>29647</v>
      </c>
      <c r="P128" s="89">
        <v>144403</v>
      </c>
      <c r="Q128" s="89">
        <v>35006</v>
      </c>
      <c r="R128" s="89">
        <v>2159920</v>
      </c>
      <c r="S128" s="88" t="s">
        <v>312</v>
      </c>
      <c r="T128" s="252" t="s">
        <v>94</v>
      </c>
      <c r="U128" s="237"/>
    </row>
    <row r="129" spans="2:21" x14ac:dyDescent="0.35">
      <c r="B129" s="237"/>
      <c r="C129" s="251"/>
      <c r="D129" s="90" t="s">
        <v>345</v>
      </c>
      <c r="E129" s="91"/>
      <c r="F129" s="91">
        <v>241910846.02000001</v>
      </c>
      <c r="G129" s="91">
        <v>59113749.109999999</v>
      </c>
      <c r="H129" s="91">
        <v>419266012.81</v>
      </c>
      <c r="I129" s="91">
        <v>114752497.56</v>
      </c>
      <c r="J129" s="91">
        <v>10689394.35</v>
      </c>
      <c r="K129" s="91">
        <v>132535478.48999999</v>
      </c>
      <c r="L129" s="91">
        <v>206550902.36000001</v>
      </c>
      <c r="M129" s="91">
        <v>9010315842.5699997</v>
      </c>
      <c r="N129" s="91">
        <v>9062534.4000000004</v>
      </c>
      <c r="O129" s="91">
        <v>49340589.560000002</v>
      </c>
      <c r="P129" s="91">
        <v>480012090.18000001</v>
      </c>
      <c r="Q129" s="91">
        <v>200027711.34999999</v>
      </c>
      <c r="R129" s="89">
        <v>10933577648.76</v>
      </c>
      <c r="S129" s="90" t="s">
        <v>344</v>
      </c>
      <c r="T129" s="253"/>
      <c r="U129" s="237"/>
    </row>
    <row r="130" spans="2:21" x14ac:dyDescent="0.35">
      <c r="B130" s="237"/>
      <c r="C130" s="250" t="s">
        <v>79</v>
      </c>
      <c r="D130" s="88" t="s">
        <v>313</v>
      </c>
      <c r="E130" s="89"/>
      <c r="F130" s="89">
        <v>22962</v>
      </c>
      <c r="G130" s="89">
        <v>33804</v>
      </c>
      <c r="H130" s="89">
        <v>214654</v>
      </c>
      <c r="I130" s="89">
        <v>20429</v>
      </c>
      <c r="J130" s="89">
        <v>1616</v>
      </c>
      <c r="K130" s="89">
        <v>35132</v>
      </c>
      <c r="L130" s="89">
        <v>76584</v>
      </c>
      <c r="M130" s="89">
        <v>1722897</v>
      </c>
      <c r="N130" s="89">
        <v>10766</v>
      </c>
      <c r="O130" s="89">
        <v>55363</v>
      </c>
      <c r="P130" s="89">
        <v>243790</v>
      </c>
      <c r="Q130" s="89">
        <v>52260</v>
      </c>
      <c r="R130" s="89">
        <v>2490257</v>
      </c>
      <c r="S130" s="88" t="s">
        <v>312</v>
      </c>
      <c r="T130" s="252" t="s">
        <v>95</v>
      </c>
      <c r="U130" s="237"/>
    </row>
    <row r="131" spans="2:21" x14ac:dyDescent="0.35">
      <c r="B131" s="237"/>
      <c r="C131" s="251"/>
      <c r="D131" s="90" t="s">
        <v>345</v>
      </c>
      <c r="E131" s="91"/>
      <c r="F131" s="91">
        <v>143203397.37</v>
      </c>
      <c r="G131" s="91">
        <v>146691968.24000001</v>
      </c>
      <c r="H131" s="91">
        <v>547811014.26999998</v>
      </c>
      <c r="I131" s="91">
        <v>68736373.590000004</v>
      </c>
      <c r="J131" s="91">
        <v>12682462.57</v>
      </c>
      <c r="K131" s="91">
        <v>125580765.13</v>
      </c>
      <c r="L131" s="91">
        <v>284205152.32999998</v>
      </c>
      <c r="M131" s="91">
        <v>11523391711.9</v>
      </c>
      <c r="N131" s="91">
        <v>27254353.59</v>
      </c>
      <c r="O131" s="91">
        <v>126118495.56</v>
      </c>
      <c r="P131" s="91">
        <v>1116708809.96</v>
      </c>
      <c r="Q131" s="91">
        <v>300889075.80000001</v>
      </c>
      <c r="R131" s="89">
        <v>14423273580.309999</v>
      </c>
      <c r="S131" s="90" t="s">
        <v>344</v>
      </c>
      <c r="T131" s="253"/>
      <c r="U131" s="237"/>
    </row>
    <row r="132" spans="2:21" x14ac:dyDescent="0.35">
      <c r="B132" s="237"/>
      <c r="C132" s="250" t="s">
        <v>80</v>
      </c>
      <c r="D132" s="88" t="s">
        <v>313</v>
      </c>
      <c r="E132" s="89"/>
      <c r="F132" s="89">
        <v>16463</v>
      </c>
      <c r="G132" s="89">
        <v>22161</v>
      </c>
      <c r="H132" s="89">
        <v>198153</v>
      </c>
      <c r="I132" s="89">
        <v>20298</v>
      </c>
      <c r="J132" s="89">
        <v>1338</v>
      </c>
      <c r="K132" s="89">
        <v>34379</v>
      </c>
      <c r="L132" s="89">
        <v>68985</v>
      </c>
      <c r="M132" s="89">
        <v>1916642</v>
      </c>
      <c r="N132" s="89">
        <v>12289</v>
      </c>
      <c r="O132" s="89">
        <v>26780</v>
      </c>
      <c r="P132" s="89">
        <v>253659</v>
      </c>
      <c r="Q132" s="89">
        <v>50920</v>
      </c>
      <c r="R132" s="89">
        <v>2622067</v>
      </c>
      <c r="S132" s="88" t="s">
        <v>312</v>
      </c>
      <c r="T132" s="252" t="s">
        <v>96</v>
      </c>
      <c r="U132" s="237"/>
    </row>
    <row r="133" spans="2:21" x14ac:dyDescent="0.35">
      <c r="B133" s="237"/>
      <c r="C133" s="251"/>
      <c r="D133" s="90" t="s">
        <v>345</v>
      </c>
      <c r="E133" s="91"/>
      <c r="F133" s="91">
        <v>81680775.450000003</v>
      </c>
      <c r="G133" s="91">
        <v>125914142.73999999</v>
      </c>
      <c r="H133" s="91">
        <v>407179418.81</v>
      </c>
      <c r="I133" s="91">
        <v>102011985.45999999</v>
      </c>
      <c r="J133" s="91">
        <v>13936055.76</v>
      </c>
      <c r="K133" s="91">
        <v>102799314.27</v>
      </c>
      <c r="L133" s="91">
        <v>404813302.31</v>
      </c>
      <c r="M133" s="91">
        <v>13664398145.780001</v>
      </c>
      <c r="N133" s="91">
        <v>22461456.829999998</v>
      </c>
      <c r="O133" s="91">
        <v>69786810.049999997</v>
      </c>
      <c r="P133" s="91">
        <v>1400119170.72</v>
      </c>
      <c r="Q133" s="91">
        <v>354032464.02999997</v>
      </c>
      <c r="R133" s="89">
        <v>16749133042.209999</v>
      </c>
      <c r="S133" s="90" t="s">
        <v>344</v>
      </c>
      <c r="T133" s="253"/>
      <c r="U133" s="237"/>
    </row>
    <row r="134" spans="2:21" x14ac:dyDescent="0.35">
      <c r="B134" s="237"/>
      <c r="C134" s="250" t="s">
        <v>81</v>
      </c>
      <c r="D134" s="88" t="s">
        <v>313</v>
      </c>
      <c r="E134" s="89"/>
      <c r="F134" s="89">
        <v>19001</v>
      </c>
      <c r="G134" s="89">
        <v>25228</v>
      </c>
      <c r="H134" s="89">
        <v>308552</v>
      </c>
      <c r="I134" s="89">
        <v>23662</v>
      </c>
      <c r="J134" s="89">
        <v>2842</v>
      </c>
      <c r="K134" s="89">
        <v>26156</v>
      </c>
      <c r="L134" s="89">
        <v>81291</v>
      </c>
      <c r="M134" s="89">
        <v>2327739</v>
      </c>
      <c r="N134" s="89">
        <v>11742</v>
      </c>
      <c r="O134" s="89">
        <v>39175</v>
      </c>
      <c r="P134" s="89">
        <v>292223</v>
      </c>
      <c r="Q134" s="89">
        <v>61838</v>
      </c>
      <c r="R134" s="89">
        <v>3219449</v>
      </c>
      <c r="S134" s="88" t="s">
        <v>312</v>
      </c>
      <c r="T134" s="252" t="s">
        <v>97</v>
      </c>
      <c r="U134" s="237"/>
    </row>
    <row r="135" spans="2:21" x14ac:dyDescent="0.35">
      <c r="B135" s="238"/>
      <c r="C135" s="251"/>
      <c r="D135" s="90" t="s">
        <v>345</v>
      </c>
      <c r="E135" s="91"/>
      <c r="F135" s="91">
        <v>83236911.120000005</v>
      </c>
      <c r="G135" s="91">
        <v>133475236.11</v>
      </c>
      <c r="H135" s="91">
        <v>604635052.66999996</v>
      </c>
      <c r="I135" s="91">
        <v>101126941.8</v>
      </c>
      <c r="J135" s="91">
        <v>14416744.789999999</v>
      </c>
      <c r="K135" s="91">
        <v>87920699.150000006</v>
      </c>
      <c r="L135" s="91">
        <v>532118215.44999999</v>
      </c>
      <c r="M135" s="91">
        <v>15883557020.1</v>
      </c>
      <c r="N135" s="91">
        <v>35507853.869999997</v>
      </c>
      <c r="O135" s="91">
        <v>74188024.340000004</v>
      </c>
      <c r="P135" s="91">
        <v>1459856968.6900001</v>
      </c>
      <c r="Q135" s="91">
        <v>485820340.05000001</v>
      </c>
      <c r="R135" s="91">
        <v>19495860008.139999</v>
      </c>
      <c r="S135" s="90" t="s">
        <v>344</v>
      </c>
      <c r="T135" s="253"/>
      <c r="U135" s="238"/>
    </row>
    <row r="136" spans="2:21" x14ac:dyDescent="0.35">
      <c r="B136" s="254" t="s">
        <v>82</v>
      </c>
      <c r="C136" s="255"/>
      <c r="D136" s="92" t="s">
        <v>313</v>
      </c>
      <c r="E136" s="93">
        <v>5824</v>
      </c>
      <c r="F136" s="93">
        <v>283214</v>
      </c>
      <c r="G136" s="93">
        <v>260291</v>
      </c>
      <c r="H136" s="93">
        <v>3606020</v>
      </c>
      <c r="I136" s="93">
        <v>230743</v>
      </c>
      <c r="J136" s="93">
        <v>13618</v>
      </c>
      <c r="K136" s="93">
        <v>458499</v>
      </c>
      <c r="L136" s="93">
        <v>754214</v>
      </c>
      <c r="M136" s="93">
        <v>20427855</v>
      </c>
      <c r="N136" s="93">
        <v>81566</v>
      </c>
      <c r="O136" s="93">
        <v>448774</v>
      </c>
      <c r="P136" s="93">
        <v>2316449</v>
      </c>
      <c r="Q136" s="93">
        <v>367720</v>
      </c>
      <c r="R136" s="93">
        <v>29254787</v>
      </c>
      <c r="S136" s="92" t="s">
        <v>312</v>
      </c>
      <c r="T136" s="258" t="s">
        <v>98</v>
      </c>
      <c r="U136" s="259"/>
    </row>
    <row r="137" spans="2:21" x14ac:dyDescent="0.35">
      <c r="B137" s="256"/>
      <c r="C137" s="257"/>
      <c r="D137" s="94" t="s">
        <v>345</v>
      </c>
      <c r="E137" s="69">
        <v>36801403.219999999</v>
      </c>
      <c r="F137" s="69">
        <v>1434170538.8099999</v>
      </c>
      <c r="G137" s="69">
        <v>1016672123.49</v>
      </c>
      <c r="H137" s="69">
        <v>6472249332.9899998</v>
      </c>
      <c r="I137" s="69">
        <v>755346065.33000004</v>
      </c>
      <c r="J137" s="69">
        <v>69848317.650000006</v>
      </c>
      <c r="K137" s="69">
        <v>1279631602.4200001</v>
      </c>
      <c r="L137" s="69">
        <v>3633947378.5799999</v>
      </c>
      <c r="M137" s="69">
        <v>149394815391.17999</v>
      </c>
      <c r="N137" s="69">
        <v>216828367.88</v>
      </c>
      <c r="O137" s="69">
        <v>752135078.50999999</v>
      </c>
      <c r="P137" s="69">
        <v>9141565956.6800003</v>
      </c>
      <c r="Q137" s="69">
        <v>2424681176.6999998</v>
      </c>
      <c r="R137" s="69">
        <v>176628692733.44</v>
      </c>
      <c r="S137" s="94" t="s">
        <v>344</v>
      </c>
      <c r="T137" s="260"/>
      <c r="U137" s="261"/>
    </row>
  </sheetData>
  <mergeCells count="142">
    <mergeCell ref="C134:C135"/>
    <mergeCell ref="T134:T135"/>
    <mergeCell ref="B136:C137"/>
    <mergeCell ref="T136:U137"/>
    <mergeCell ref="B112:B135"/>
    <mergeCell ref="C112:C113"/>
    <mergeCell ref="T112:T113"/>
    <mergeCell ref="U112:U135"/>
    <mergeCell ref="C114:C115"/>
    <mergeCell ref="T114:T115"/>
    <mergeCell ref="C116:C117"/>
    <mergeCell ref="T116:T117"/>
    <mergeCell ref="C118:C119"/>
    <mergeCell ref="T118:T119"/>
    <mergeCell ref="C120:C121"/>
    <mergeCell ref="T120:T121"/>
    <mergeCell ref="C122:C123"/>
    <mergeCell ref="T122:T123"/>
    <mergeCell ref="C124:C125"/>
    <mergeCell ref="T124:T125"/>
    <mergeCell ref="C126:C127"/>
    <mergeCell ref="T126:T127"/>
    <mergeCell ref="C128:C129"/>
    <mergeCell ref="T128:T129"/>
    <mergeCell ref="C130:C131"/>
    <mergeCell ref="T130:T131"/>
    <mergeCell ref="C132:C133"/>
    <mergeCell ref="T132:T133"/>
    <mergeCell ref="C20:C21"/>
    <mergeCell ref="T20:T21"/>
    <mergeCell ref="C22:C23"/>
    <mergeCell ref="T22:T23"/>
    <mergeCell ref="C24:C25"/>
    <mergeCell ref="T24:T25"/>
    <mergeCell ref="C46:C47"/>
    <mergeCell ref="T46:T47"/>
    <mergeCell ref="C26:C27"/>
    <mergeCell ref="T26:T27"/>
    <mergeCell ref="C28:C29"/>
    <mergeCell ref="T28:T29"/>
    <mergeCell ref="C30:C31"/>
    <mergeCell ref="T30:T31"/>
    <mergeCell ref="B32:C33"/>
    <mergeCell ref="T32:U33"/>
    <mergeCell ref="B8:B31"/>
    <mergeCell ref="C8:C9"/>
    <mergeCell ref="T8:T9"/>
    <mergeCell ref="U8:U31"/>
    <mergeCell ref="C10:C11"/>
    <mergeCell ref="T10:T11"/>
    <mergeCell ref="C12:C13"/>
    <mergeCell ref="T12:T13"/>
    <mergeCell ref="C14:C15"/>
    <mergeCell ref="T14:T15"/>
    <mergeCell ref="C16:C17"/>
    <mergeCell ref="T16:T17"/>
    <mergeCell ref="C18:C19"/>
    <mergeCell ref="T18:T19"/>
    <mergeCell ref="C56:C57"/>
    <mergeCell ref="T56:T57"/>
    <mergeCell ref="B58:C59"/>
    <mergeCell ref="T58:U59"/>
    <mergeCell ref="B34:B57"/>
    <mergeCell ref="C34:C35"/>
    <mergeCell ref="T34:T35"/>
    <mergeCell ref="U34:U57"/>
    <mergeCell ref="C36:C37"/>
    <mergeCell ref="T36:T37"/>
    <mergeCell ref="C38:C39"/>
    <mergeCell ref="T38:T39"/>
    <mergeCell ref="C40:C41"/>
    <mergeCell ref="T40:T41"/>
    <mergeCell ref="C48:C49"/>
    <mergeCell ref="T48:T49"/>
    <mergeCell ref="C50:C51"/>
    <mergeCell ref="T50:T51"/>
    <mergeCell ref="C52:C53"/>
    <mergeCell ref="T52:T53"/>
    <mergeCell ref="C42:C43"/>
    <mergeCell ref="T42:T43"/>
    <mergeCell ref="C44:C45"/>
    <mergeCell ref="T44:T45"/>
    <mergeCell ref="T60:T61"/>
    <mergeCell ref="U60:U83"/>
    <mergeCell ref="C62:C63"/>
    <mergeCell ref="T62:T63"/>
    <mergeCell ref="C64:C65"/>
    <mergeCell ref="T64:T65"/>
    <mergeCell ref="C66:C67"/>
    <mergeCell ref="T66:T67"/>
    <mergeCell ref="C74:C75"/>
    <mergeCell ref="T74:T75"/>
    <mergeCell ref="C76:C77"/>
    <mergeCell ref="T76:T77"/>
    <mergeCell ref="C96:C97"/>
    <mergeCell ref="T96:T97"/>
    <mergeCell ref="C98:C99"/>
    <mergeCell ref="T98:T99"/>
    <mergeCell ref="A2:E2"/>
    <mergeCell ref="A3:E3"/>
    <mergeCell ref="C80:C81"/>
    <mergeCell ref="T80:T81"/>
    <mergeCell ref="C82:C83"/>
    <mergeCell ref="T82:T83"/>
    <mergeCell ref="C78:C79"/>
    <mergeCell ref="T78:T79"/>
    <mergeCell ref="C68:C69"/>
    <mergeCell ref="T68:T69"/>
    <mergeCell ref="C70:C71"/>
    <mergeCell ref="T70:T71"/>
    <mergeCell ref="C72:C73"/>
    <mergeCell ref="T72:T73"/>
    <mergeCell ref="C54:C55"/>
    <mergeCell ref="T54:T55"/>
    <mergeCell ref="B84:C85"/>
    <mergeCell ref="T84:U85"/>
    <mergeCell ref="B60:B83"/>
    <mergeCell ref="C60:C61"/>
    <mergeCell ref="C106:C107"/>
    <mergeCell ref="T106:T107"/>
    <mergeCell ref="C108:C109"/>
    <mergeCell ref="T108:T109"/>
    <mergeCell ref="B110:C111"/>
    <mergeCell ref="T110:U111"/>
    <mergeCell ref="C100:C101"/>
    <mergeCell ref="T100:T101"/>
    <mergeCell ref="C102:C103"/>
    <mergeCell ref="T102:T103"/>
    <mergeCell ref="C104:C105"/>
    <mergeCell ref="T104:T105"/>
    <mergeCell ref="B86:B109"/>
    <mergeCell ref="C86:C87"/>
    <mergeCell ref="T86:T87"/>
    <mergeCell ref="U86:U109"/>
    <mergeCell ref="C88:C89"/>
    <mergeCell ref="T88:T89"/>
    <mergeCell ref="C90:C91"/>
    <mergeCell ref="T90:T91"/>
    <mergeCell ref="C92:C93"/>
    <mergeCell ref="T92:T93"/>
    <mergeCell ref="C94:C95"/>
    <mergeCell ref="T94:T95"/>
  </mergeCells>
  <pageMargins left="0.7" right="0.7" top="0.75" bottom="0.75" header="0.3" footer="0.3"/>
  <pageSetup orientation="portrait" r:id="rId1"/>
  <headerFooter>
    <oddFooter>&amp;C&amp;1#&amp;"Calibri"&amp;11&amp;Kffa500CONFIDENTIAL▮▮مقيّد</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B3E52-F2E9-466B-9524-8E56C566E7FB}">
  <sheetPr>
    <tabColor rgb="FF00B050"/>
  </sheetPr>
  <dimension ref="A1:AW139"/>
  <sheetViews>
    <sheetView showGridLines="0" zoomScale="70" zoomScaleNormal="70" workbookViewId="0">
      <pane ySplit="8" topLeftCell="A105" activePane="bottomLeft" state="frozen"/>
      <selection pane="bottomLeft"/>
    </sheetView>
  </sheetViews>
  <sheetFormatPr defaultColWidth="8.81640625" defaultRowHeight="14.5" x14ac:dyDescent="0.35"/>
  <cols>
    <col min="3" max="3" width="17.81640625" bestFit="1" customWidth="1"/>
    <col min="4" max="4" width="33" bestFit="1" customWidth="1"/>
    <col min="5" max="11" width="19.453125" customWidth="1"/>
    <col min="12" max="12" width="17.81640625" bestFit="1" customWidth="1"/>
    <col min="13" max="14" width="18.54296875" customWidth="1"/>
    <col min="15" max="15" width="21.453125" customWidth="1"/>
    <col min="16" max="16" width="22.453125" customWidth="1"/>
    <col min="17" max="18" width="21.453125" customWidth="1"/>
    <col min="19" max="20" width="17.81640625" customWidth="1"/>
    <col min="21" max="23" width="17.54296875" customWidth="1"/>
    <col min="24" max="25" width="18.54296875" customWidth="1"/>
    <col min="26" max="31" width="17.54296875" customWidth="1"/>
    <col min="32" max="32" width="19.453125" bestFit="1" customWidth="1"/>
    <col min="33" max="34" width="17.54296875" customWidth="1"/>
    <col min="35" max="45" width="17.453125" customWidth="1"/>
    <col min="46" max="46" width="20.1796875" bestFit="1" customWidth="1"/>
    <col min="47" max="47" width="17.81640625" bestFit="1" customWidth="1"/>
  </cols>
  <sheetData>
    <row r="1" spans="1:49" x14ac:dyDescent="0.35">
      <c r="A1" s="9" t="s">
        <v>524</v>
      </c>
    </row>
    <row r="2" spans="1:49" x14ac:dyDescent="0.35">
      <c r="A2" s="232"/>
      <c r="B2" s="232"/>
      <c r="C2" s="232"/>
      <c r="D2" s="232"/>
      <c r="E2" s="232"/>
    </row>
    <row r="3" spans="1:49" x14ac:dyDescent="0.35">
      <c r="A3" s="232"/>
      <c r="B3" s="232"/>
      <c r="C3" s="232"/>
      <c r="D3" s="232"/>
      <c r="E3" s="232"/>
    </row>
    <row r="4" spans="1:49" s="84" customFormat="1" ht="18" customHeight="1" x14ac:dyDescent="0.35">
      <c r="A4" s="10" t="s">
        <v>12</v>
      </c>
      <c r="B4" s="30" t="s">
        <v>364</v>
      </c>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278" t="s">
        <v>363</v>
      </c>
      <c r="AG4" s="278"/>
      <c r="AH4" s="278"/>
      <c r="AI4" s="278"/>
      <c r="AJ4" s="278"/>
      <c r="AK4" s="278"/>
      <c r="AL4" s="278"/>
      <c r="AM4" s="278"/>
      <c r="AN4" s="278"/>
      <c r="AO4" s="278"/>
      <c r="AP4" s="278"/>
      <c r="AQ4" s="278"/>
      <c r="AR4" s="278"/>
      <c r="AS4" s="278"/>
      <c r="AT4" s="278"/>
      <c r="AU4" s="278"/>
      <c r="AV4" s="278"/>
    </row>
    <row r="5" spans="1:49" ht="18" customHeight="1" x14ac:dyDescent="0.35">
      <c r="B5" s="59"/>
      <c r="C5" s="60"/>
    </row>
    <row r="6" spans="1:49" s="141" customFormat="1" x14ac:dyDescent="0.35">
      <c r="E6" s="279" t="s">
        <v>50</v>
      </c>
      <c r="F6" s="280"/>
      <c r="G6" s="281"/>
      <c r="H6" s="279" t="s">
        <v>59</v>
      </c>
      <c r="I6" s="280"/>
      <c r="J6" s="280"/>
      <c r="K6" s="281"/>
      <c r="L6" s="279" t="s">
        <v>49</v>
      </c>
      <c r="M6" s="280"/>
      <c r="N6" s="281"/>
      <c r="O6" s="279" t="s">
        <v>51</v>
      </c>
      <c r="P6" s="280"/>
      <c r="Q6" s="280"/>
      <c r="R6" s="281"/>
      <c r="S6" s="279" t="s">
        <v>52</v>
      </c>
      <c r="T6" s="281"/>
      <c r="U6" s="279" t="s">
        <v>53</v>
      </c>
      <c r="V6" s="281"/>
      <c r="W6" s="279" t="s">
        <v>54</v>
      </c>
      <c r="X6" s="280"/>
      <c r="Y6" s="281"/>
      <c r="Z6" s="279" t="s">
        <v>55</v>
      </c>
      <c r="AA6" s="280"/>
      <c r="AB6" s="280"/>
      <c r="AC6" s="281"/>
      <c r="AD6" s="279" t="s">
        <v>56</v>
      </c>
      <c r="AE6" s="280"/>
      <c r="AF6" s="280"/>
      <c r="AG6" s="280"/>
      <c r="AH6" s="281"/>
      <c r="AI6" s="279" t="s">
        <v>57</v>
      </c>
      <c r="AJ6" s="281"/>
      <c r="AK6" s="279" t="s">
        <v>58</v>
      </c>
      <c r="AL6" s="281"/>
      <c r="AM6" s="279" t="s">
        <v>60</v>
      </c>
      <c r="AN6" s="281"/>
      <c r="AO6" s="270" t="s">
        <v>61</v>
      </c>
      <c r="AP6" s="271"/>
      <c r="AQ6" s="271"/>
      <c r="AR6" s="271"/>
      <c r="AS6" s="271"/>
    </row>
    <row r="7" spans="1:49" s="141" customFormat="1" x14ac:dyDescent="0.35">
      <c r="E7" s="265" t="s">
        <v>389</v>
      </c>
      <c r="F7" s="266"/>
      <c r="G7" s="267"/>
      <c r="H7" s="265" t="s">
        <v>395</v>
      </c>
      <c r="I7" s="266"/>
      <c r="J7" s="266"/>
      <c r="K7" s="267"/>
      <c r="L7" s="265" t="s">
        <v>396</v>
      </c>
      <c r="M7" s="266"/>
      <c r="N7" s="267"/>
      <c r="O7" s="265" t="s">
        <v>402</v>
      </c>
      <c r="P7" s="266"/>
      <c r="Q7" s="266"/>
      <c r="R7" s="267"/>
      <c r="S7" s="265" t="s">
        <v>403</v>
      </c>
      <c r="T7" s="267"/>
      <c r="U7" s="265" t="s">
        <v>404</v>
      </c>
      <c r="V7" s="267"/>
      <c r="W7" s="265" t="s">
        <v>405</v>
      </c>
      <c r="X7" s="266"/>
      <c r="Y7" s="267"/>
      <c r="Z7" s="265" t="s">
        <v>406</v>
      </c>
      <c r="AA7" s="266"/>
      <c r="AB7" s="266"/>
      <c r="AC7" s="267"/>
      <c r="AD7" s="265" t="s">
        <v>407</v>
      </c>
      <c r="AE7" s="266"/>
      <c r="AF7" s="266"/>
      <c r="AG7" s="266"/>
      <c r="AH7" s="267"/>
      <c r="AI7" s="265" t="s">
        <v>408</v>
      </c>
      <c r="AJ7" s="267"/>
      <c r="AK7" s="265" t="s">
        <v>409</v>
      </c>
      <c r="AL7" s="267"/>
      <c r="AM7" s="265" t="s">
        <v>410</v>
      </c>
      <c r="AN7" s="267"/>
      <c r="AO7" s="270" t="s">
        <v>411</v>
      </c>
      <c r="AP7" s="271"/>
      <c r="AQ7" s="271"/>
      <c r="AR7" s="271"/>
      <c r="AS7" s="271"/>
    </row>
    <row r="8" spans="1:49" s="141" customFormat="1" x14ac:dyDescent="0.35">
      <c r="C8" s="272" t="s">
        <v>99</v>
      </c>
      <c r="D8" s="274" t="s">
        <v>223</v>
      </c>
      <c r="E8" s="85" t="s">
        <v>261</v>
      </c>
      <c r="F8" s="85" t="s">
        <v>388</v>
      </c>
      <c r="G8" s="85" t="s">
        <v>391</v>
      </c>
      <c r="H8" s="85" t="s">
        <v>288</v>
      </c>
      <c r="I8" s="85" t="s">
        <v>392</v>
      </c>
      <c r="J8" s="85" t="s">
        <v>283</v>
      </c>
      <c r="K8" s="85" t="s">
        <v>394</v>
      </c>
      <c r="L8" s="85" t="s">
        <v>275</v>
      </c>
      <c r="M8" s="85" t="s">
        <v>397</v>
      </c>
      <c r="N8" s="85" t="s">
        <v>398</v>
      </c>
      <c r="O8" s="85" t="s">
        <v>276</v>
      </c>
      <c r="P8" s="85" t="s">
        <v>277</v>
      </c>
      <c r="Q8" s="85" t="s">
        <v>280</v>
      </c>
      <c r="R8" s="85" t="s">
        <v>412</v>
      </c>
      <c r="S8" s="85" t="s">
        <v>264</v>
      </c>
      <c r="T8" s="85" t="s">
        <v>414</v>
      </c>
      <c r="U8" s="85" t="s">
        <v>265</v>
      </c>
      <c r="V8" s="85" t="s">
        <v>416</v>
      </c>
      <c r="W8" s="85" t="s">
        <v>420</v>
      </c>
      <c r="X8" s="85" t="s">
        <v>282</v>
      </c>
      <c r="Y8" s="85" t="s">
        <v>418</v>
      </c>
      <c r="Z8" s="85" t="s">
        <v>421</v>
      </c>
      <c r="AA8" s="85" t="s">
        <v>267</v>
      </c>
      <c r="AB8" s="85" t="s">
        <v>422</v>
      </c>
      <c r="AC8" s="85" t="s">
        <v>423</v>
      </c>
      <c r="AD8" s="85" t="s">
        <v>281</v>
      </c>
      <c r="AE8" s="85" t="s">
        <v>268</v>
      </c>
      <c r="AF8" s="85" t="s">
        <v>425</v>
      </c>
      <c r="AG8" s="85" t="s">
        <v>279</v>
      </c>
      <c r="AH8" s="85" t="s">
        <v>426</v>
      </c>
      <c r="AI8" s="85" t="s">
        <v>269</v>
      </c>
      <c r="AJ8" s="85" t="s">
        <v>428</v>
      </c>
      <c r="AK8" s="85" t="s">
        <v>278</v>
      </c>
      <c r="AL8" s="85" t="s">
        <v>430</v>
      </c>
      <c r="AM8" s="85" t="s">
        <v>271</v>
      </c>
      <c r="AN8" s="85" t="s">
        <v>432</v>
      </c>
      <c r="AO8" s="85" t="s">
        <v>434</v>
      </c>
      <c r="AP8" s="85" t="s">
        <v>435</v>
      </c>
      <c r="AQ8" s="85" t="s">
        <v>272</v>
      </c>
      <c r="AR8" s="85" t="s">
        <v>436</v>
      </c>
      <c r="AS8" s="85" t="s">
        <v>401</v>
      </c>
      <c r="AT8" s="85" t="s">
        <v>98</v>
      </c>
      <c r="AU8" s="276" t="s">
        <v>222</v>
      </c>
      <c r="AV8" s="268" t="s">
        <v>100</v>
      </c>
    </row>
    <row r="9" spans="1:49" s="141" customFormat="1" x14ac:dyDescent="0.35">
      <c r="B9" s="59"/>
      <c r="C9" s="273"/>
      <c r="D9" s="275"/>
      <c r="E9" s="85" t="s">
        <v>367</v>
      </c>
      <c r="F9" s="85" t="s">
        <v>368</v>
      </c>
      <c r="G9" s="85" t="s">
        <v>390</v>
      </c>
      <c r="H9" s="85" t="s">
        <v>369</v>
      </c>
      <c r="I9" s="85" t="s">
        <v>370</v>
      </c>
      <c r="J9" s="85" t="s">
        <v>371</v>
      </c>
      <c r="K9" s="85" t="s">
        <v>393</v>
      </c>
      <c r="L9" s="85" t="s">
        <v>372</v>
      </c>
      <c r="M9" s="85" t="s">
        <v>373</v>
      </c>
      <c r="N9" s="85" t="s">
        <v>399</v>
      </c>
      <c r="O9" s="85" t="s">
        <v>374</v>
      </c>
      <c r="P9" s="85" t="s">
        <v>375</v>
      </c>
      <c r="Q9" s="85" t="s">
        <v>376</v>
      </c>
      <c r="R9" s="85" t="s">
        <v>413</v>
      </c>
      <c r="S9" s="85" t="s">
        <v>252</v>
      </c>
      <c r="T9" s="85" t="s">
        <v>415</v>
      </c>
      <c r="U9" s="85" t="s">
        <v>253</v>
      </c>
      <c r="V9" s="85" t="s">
        <v>417</v>
      </c>
      <c r="W9" s="85" t="s">
        <v>377</v>
      </c>
      <c r="X9" s="85" t="s">
        <v>378</v>
      </c>
      <c r="Y9" s="85" t="s">
        <v>419</v>
      </c>
      <c r="Z9" s="85" t="s">
        <v>379</v>
      </c>
      <c r="AA9" s="85" t="s">
        <v>255</v>
      </c>
      <c r="AB9" s="85" t="s">
        <v>380</v>
      </c>
      <c r="AC9" s="85" t="s">
        <v>424</v>
      </c>
      <c r="AD9" s="85" t="s">
        <v>381</v>
      </c>
      <c r="AE9" s="85" t="s">
        <v>256</v>
      </c>
      <c r="AF9" s="85" t="s">
        <v>382</v>
      </c>
      <c r="AG9" s="85" t="s">
        <v>383</v>
      </c>
      <c r="AH9" s="85" t="s">
        <v>427</v>
      </c>
      <c r="AI9" s="85" t="s">
        <v>257</v>
      </c>
      <c r="AJ9" s="85" t="s">
        <v>429</v>
      </c>
      <c r="AK9" s="85" t="s">
        <v>384</v>
      </c>
      <c r="AL9" s="85" t="s">
        <v>431</v>
      </c>
      <c r="AM9" s="85" t="s">
        <v>259</v>
      </c>
      <c r="AN9" s="85" t="s">
        <v>433</v>
      </c>
      <c r="AO9" s="85" t="s">
        <v>385</v>
      </c>
      <c r="AP9" s="85" t="s">
        <v>386</v>
      </c>
      <c r="AQ9" s="85" t="s">
        <v>260</v>
      </c>
      <c r="AR9" s="85" t="s">
        <v>387</v>
      </c>
      <c r="AS9" s="85" t="s">
        <v>400</v>
      </c>
      <c r="AT9" s="110" t="s">
        <v>274</v>
      </c>
      <c r="AU9" s="277"/>
      <c r="AV9" s="269"/>
    </row>
    <row r="10" spans="1:49" s="141" customFormat="1" x14ac:dyDescent="0.35">
      <c r="B10" s="233">
        <v>2021</v>
      </c>
      <c r="C10" s="250" t="s">
        <v>70</v>
      </c>
      <c r="D10" s="88" t="s">
        <v>313</v>
      </c>
      <c r="E10" s="89"/>
      <c r="F10" s="89"/>
      <c r="G10" s="89">
        <v>53</v>
      </c>
      <c r="H10" s="89">
        <v>301</v>
      </c>
      <c r="I10" s="89"/>
      <c r="J10" s="89"/>
      <c r="K10" s="89"/>
      <c r="L10" s="89">
        <v>963.87</v>
      </c>
      <c r="M10" s="89">
        <v>375.03</v>
      </c>
      <c r="N10" s="89"/>
      <c r="O10" s="89">
        <v>10754</v>
      </c>
      <c r="P10" s="89">
        <v>27788</v>
      </c>
      <c r="Q10" s="89">
        <v>23707</v>
      </c>
      <c r="R10" s="89">
        <v>27281</v>
      </c>
      <c r="S10" s="89">
        <v>156</v>
      </c>
      <c r="T10" s="89"/>
      <c r="U10" s="89">
        <v>232.02</v>
      </c>
      <c r="V10" s="89">
        <v>516.28</v>
      </c>
      <c r="W10" s="89">
        <v>1285</v>
      </c>
      <c r="X10" s="89">
        <v>493</v>
      </c>
      <c r="Y10" s="89"/>
      <c r="Z10" s="89"/>
      <c r="AA10" s="89">
        <v>91</v>
      </c>
      <c r="AB10" s="89"/>
      <c r="AC10" s="89"/>
      <c r="AD10" s="89">
        <v>35015</v>
      </c>
      <c r="AE10" s="89">
        <v>3403</v>
      </c>
      <c r="AF10" s="89"/>
      <c r="AG10" s="89">
        <v>229</v>
      </c>
      <c r="AH10" s="89">
        <v>51</v>
      </c>
      <c r="AI10" s="89">
        <v>196</v>
      </c>
      <c r="AJ10" s="89">
        <v>148</v>
      </c>
      <c r="AK10" s="89">
        <v>1459</v>
      </c>
      <c r="AL10" s="89">
        <v>850</v>
      </c>
      <c r="AM10" s="89">
        <v>95358</v>
      </c>
      <c r="AN10" s="89">
        <v>1665</v>
      </c>
      <c r="AO10" s="89"/>
      <c r="AP10" s="89">
        <v>267</v>
      </c>
      <c r="AQ10" s="89">
        <v>129</v>
      </c>
      <c r="AR10" s="89"/>
      <c r="AS10" s="89"/>
      <c r="AT10" s="89">
        <v>232765</v>
      </c>
      <c r="AU10" s="88" t="s">
        <v>312</v>
      </c>
      <c r="AV10" s="252" t="s">
        <v>86</v>
      </c>
      <c r="AW10" s="262">
        <v>2021</v>
      </c>
    </row>
    <row r="11" spans="1:49" s="141" customFormat="1" x14ac:dyDescent="0.35">
      <c r="B11" s="234"/>
      <c r="C11" s="251"/>
      <c r="D11" s="90" t="s">
        <v>345</v>
      </c>
      <c r="E11" s="91"/>
      <c r="F11" s="91"/>
      <c r="G11" s="91">
        <v>22551.98</v>
      </c>
      <c r="H11" s="91">
        <v>628522.1</v>
      </c>
      <c r="I11" s="91"/>
      <c r="J11" s="91"/>
      <c r="K11" s="91"/>
      <c r="L11" s="91">
        <v>1716789.39</v>
      </c>
      <c r="M11" s="91">
        <v>862193.8</v>
      </c>
      <c r="N11" s="91"/>
      <c r="O11" s="91">
        <v>15422619.699999999</v>
      </c>
      <c r="P11" s="91">
        <v>87711929.540000007</v>
      </c>
      <c r="Q11" s="91">
        <v>56928937.229999997</v>
      </c>
      <c r="R11" s="91">
        <v>50758145.170000002</v>
      </c>
      <c r="S11" s="91">
        <v>361931.1</v>
      </c>
      <c r="T11" s="91"/>
      <c r="U11" s="91">
        <v>2910693.04</v>
      </c>
      <c r="V11" s="91">
        <v>10858910.74</v>
      </c>
      <c r="W11" s="91">
        <v>7211665.3399999999</v>
      </c>
      <c r="X11" s="91">
        <v>1427432.6</v>
      </c>
      <c r="Y11" s="91"/>
      <c r="Z11" s="91"/>
      <c r="AA11" s="91">
        <v>341495.8</v>
      </c>
      <c r="AB11" s="91"/>
      <c r="AC11" s="91"/>
      <c r="AD11" s="91">
        <v>89956706.189999998</v>
      </c>
      <c r="AE11" s="91">
        <v>10574961.17</v>
      </c>
      <c r="AF11" s="91"/>
      <c r="AG11" s="91">
        <v>833958.67</v>
      </c>
      <c r="AH11" s="91">
        <v>260497.96</v>
      </c>
      <c r="AI11" s="91">
        <v>198797.37</v>
      </c>
      <c r="AJ11" s="91">
        <v>137733.17000000001</v>
      </c>
      <c r="AK11" s="91">
        <v>2488747.46</v>
      </c>
      <c r="AL11" s="91">
        <v>1338289.47</v>
      </c>
      <c r="AM11" s="91">
        <v>600858527.95000005</v>
      </c>
      <c r="AN11" s="91">
        <v>3083739.58</v>
      </c>
      <c r="AO11" s="91"/>
      <c r="AP11" s="91">
        <v>693806.74</v>
      </c>
      <c r="AQ11" s="91">
        <v>251740.86</v>
      </c>
      <c r="AR11" s="91"/>
      <c r="AS11" s="91"/>
      <c r="AT11" s="91">
        <v>947841324.10000002</v>
      </c>
      <c r="AU11" s="90" t="s">
        <v>344</v>
      </c>
      <c r="AV11" s="253"/>
      <c r="AW11" s="263"/>
    </row>
    <row r="12" spans="1:49" s="141" customFormat="1" x14ac:dyDescent="0.35">
      <c r="B12" s="234"/>
      <c r="C12" s="250" t="s">
        <v>71</v>
      </c>
      <c r="D12" s="88" t="s">
        <v>313</v>
      </c>
      <c r="E12" s="89">
        <v>27</v>
      </c>
      <c r="F12" s="89"/>
      <c r="G12" s="89"/>
      <c r="H12" s="89">
        <v>1148</v>
      </c>
      <c r="I12" s="89"/>
      <c r="J12" s="89"/>
      <c r="K12" s="89"/>
      <c r="L12" s="89">
        <v>1522.47</v>
      </c>
      <c r="M12" s="89"/>
      <c r="N12" s="89">
        <v>773.05</v>
      </c>
      <c r="O12" s="89">
        <v>5286</v>
      </c>
      <c r="P12" s="89">
        <v>18421</v>
      </c>
      <c r="Q12" s="89">
        <v>12209</v>
      </c>
      <c r="R12" s="89">
        <v>11453</v>
      </c>
      <c r="S12" s="89">
        <v>2898</v>
      </c>
      <c r="T12" s="89"/>
      <c r="U12" s="89"/>
      <c r="V12" s="89">
        <v>16.43</v>
      </c>
      <c r="W12" s="89">
        <v>234</v>
      </c>
      <c r="X12" s="89">
        <v>275</v>
      </c>
      <c r="Y12" s="89">
        <v>93</v>
      </c>
      <c r="Z12" s="89"/>
      <c r="AA12" s="89">
        <v>168</v>
      </c>
      <c r="AB12" s="89"/>
      <c r="AC12" s="89"/>
      <c r="AD12" s="89">
        <v>15384</v>
      </c>
      <c r="AE12" s="89">
        <v>2977</v>
      </c>
      <c r="AF12" s="89"/>
      <c r="AG12" s="89">
        <v>302</v>
      </c>
      <c r="AH12" s="89">
        <v>7</v>
      </c>
      <c r="AI12" s="89">
        <v>376</v>
      </c>
      <c r="AJ12" s="89">
        <v>30</v>
      </c>
      <c r="AK12" s="89">
        <v>933</v>
      </c>
      <c r="AL12" s="89">
        <v>584</v>
      </c>
      <c r="AM12" s="89">
        <v>48859</v>
      </c>
      <c r="AN12" s="89">
        <v>586</v>
      </c>
      <c r="AO12" s="89"/>
      <c r="AP12" s="89">
        <v>257</v>
      </c>
      <c r="AQ12" s="89">
        <v>214</v>
      </c>
      <c r="AR12" s="89"/>
      <c r="AS12" s="89"/>
      <c r="AT12" s="89">
        <v>125032</v>
      </c>
      <c r="AU12" s="88" t="s">
        <v>312</v>
      </c>
      <c r="AV12" s="252" t="s">
        <v>87</v>
      </c>
      <c r="AW12" s="263"/>
    </row>
    <row r="13" spans="1:49" s="141" customFormat="1" x14ac:dyDescent="0.35">
      <c r="B13" s="234"/>
      <c r="C13" s="251"/>
      <c r="D13" s="90" t="s">
        <v>345</v>
      </c>
      <c r="E13" s="91">
        <v>114541.23</v>
      </c>
      <c r="F13" s="91"/>
      <c r="G13" s="91"/>
      <c r="H13" s="91">
        <v>5003585.0199999996</v>
      </c>
      <c r="I13" s="91"/>
      <c r="J13" s="91"/>
      <c r="K13" s="91"/>
      <c r="L13" s="91">
        <v>2990261.17</v>
      </c>
      <c r="M13" s="91"/>
      <c r="N13" s="91">
        <v>1581993.13</v>
      </c>
      <c r="O13" s="91">
        <v>7008775.2800000003</v>
      </c>
      <c r="P13" s="91">
        <v>54820223.189999998</v>
      </c>
      <c r="Q13" s="91">
        <v>34704723.200000003</v>
      </c>
      <c r="R13" s="91">
        <v>28586807.890000001</v>
      </c>
      <c r="S13" s="91">
        <v>15924612.02</v>
      </c>
      <c r="T13" s="91"/>
      <c r="U13" s="91"/>
      <c r="V13" s="91">
        <v>65745.3</v>
      </c>
      <c r="W13" s="91">
        <v>1622486.82</v>
      </c>
      <c r="X13" s="91">
        <v>688897.77</v>
      </c>
      <c r="Y13" s="91">
        <v>1519182.41</v>
      </c>
      <c r="Z13" s="91"/>
      <c r="AA13" s="91">
        <v>477424.32</v>
      </c>
      <c r="AB13" s="91"/>
      <c r="AC13" s="91"/>
      <c r="AD13" s="91">
        <v>68265646.769999996</v>
      </c>
      <c r="AE13" s="91">
        <v>15424064.810000001</v>
      </c>
      <c r="AF13" s="91"/>
      <c r="AG13" s="91">
        <v>418219.21</v>
      </c>
      <c r="AH13" s="91">
        <v>49163.64</v>
      </c>
      <c r="AI13" s="91">
        <v>10207416.720000001</v>
      </c>
      <c r="AJ13" s="91">
        <v>76428</v>
      </c>
      <c r="AK13" s="91">
        <v>1906514.63</v>
      </c>
      <c r="AL13" s="91">
        <v>980508.33</v>
      </c>
      <c r="AM13" s="91">
        <v>323672174.87</v>
      </c>
      <c r="AN13" s="91">
        <v>1129493.5</v>
      </c>
      <c r="AO13" s="91"/>
      <c r="AP13" s="91">
        <v>692656.43</v>
      </c>
      <c r="AQ13" s="91">
        <v>4097608.01</v>
      </c>
      <c r="AR13" s="91"/>
      <c r="AS13" s="91"/>
      <c r="AT13" s="91">
        <v>582029153.63999999</v>
      </c>
      <c r="AU13" s="90" t="s">
        <v>344</v>
      </c>
      <c r="AV13" s="253"/>
      <c r="AW13" s="263"/>
    </row>
    <row r="14" spans="1:49" s="141" customFormat="1" x14ac:dyDescent="0.35">
      <c r="B14" s="234"/>
      <c r="C14" s="250" t="s">
        <v>72</v>
      </c>
      <c r="D14" s="88" t="s">
        <v>313</v>
      </c>
      <c r="E14" s="89">
        <v>31</v>
      </c>
      <c r="F14" s="89"/>
      <c r="G14" s="89"/>
      <c r="H14" s="89">
        <v>21503</v>
      </c>
      <c r="I14" s="89"/>
      <c r="J14" s="89"/>
      <c r="K14" s="89"/>
      <c r="L14" s="89">
        <v>624.08000000000004</v>
      </c>
      <c r="M14" s="89"/>
      <c r="N14" s="89"/>
      <c r="O14" s="89">
        <v>5393</v>
      </c>
      <c r="P14" s="89">
        <v>24626</v>
      </c>
      <c r="Q14" s="89">
        <v>8959</v>
      </c>
      <c r="R14" s="89">
        <v>4322</v>
      </c>
      <c r="S14" s="89">
        <v>1013</v>
      </c>
      <c r="T14" s="89"/>
      <c r="U14" s="89">
        <v>692.58</v>
      </c>
      <c r="V14" s="89">
        <v>1343.27</v>
      </c>
      <c r="W14" s="89">
        <v>107</v>
      </c>
      <c r="X14" s="89">
        <v>624</v>
      </c>
      <c r="Y14" s="89"/>
      <c r="Z14" s="89"/>
      <c r="AA14" s="89">
        <v>2443</v>
      </c>
      <c r="AB14" s="89"/>
      <c r="AC14" s="89"/>
      <c r="AD14" s="89">
        <v>27520</v>
      </c>
      <c r="AE14" s="89">
        <v>9954</v>
      </c>
      <c r="AF14" s="89"/>
      <c r="AG14" s="89">
        <v>381</v>
      </c>
      <c r="AH14" s="89"/>
      <c r="AI14" s="89">
        <v>45</v>
      </c>
      <c r="AJ14" s="89">
        <v>113</v>
      </c>
      <c r="AK14" s="89">
        <v>1337</v>
      </c>
      <c r="AL14" s="89">
        <v>802</v>
      </c>
      <c r="AM14" s="89">
        <v>35995</v>
      </c>
      <c r="AN14" s="89">
        <v>153</v>
      </c>
      <c r="AO14" s="89"/>
      <c r="AP14" s="89">
        <v>312</v>
      </c>
      <c r="AQ14" s="89"/>
      <c r="AR14" s="89"/>
      <c r="AS14" s="89"/>
      <c r="AT14" s="89">
        <v>148294</v>
      </c>
      <c r="AU14" s="88" t="s">
        <v>312</v>
      </c>
      <c r="AV14" s="252" t="s">
        <v>88</v>
      </c>
      <c r="AW14" s="263"/>
    </row>
    <row r="15" spans="1:49" s="141" customFormat="1" x14ac:dyDescent="0.35">
      <c r="B15" s="234"/>
      <c r="C15" s="251"/>
      <c r="D15" s="90" t="s">
        <v>345</v>
      </c>
      <c r="E15" s="91">
        <v>38707.33</v>
      </c>
      <c r="F15" s="91"/>
      <c r="G15" s="91"/>
      <c r="H15" s="91">
        <v>80286635.099999994</v>
      </c>
      <c r="I15" s="91"/>
      <c r="J15" s="91"/>
      <c r="K15" s="91"/>
      <c r="L15" s="91">
        <v>1586424.51</v>
      </c>
      <c r="M15" s="91"/>
      <c r="N15" s="91"/>
      <c r="O15" s="91">
        <v>3130297.53</v>
      </c>
      <c r="P15" s="91">
        <v>73561182.689999998</v>
      </c>
      <c r="Q15" s="91">
        <v>21235272</v>
      </c>
      <c r="R15" s="91">
        <v>10334152.42</v>
      </c>
      <c r="S15" s="91">
        <v>4497216.63</v>
      </c>
      <c r="T15" s="91"/>
      <c r="U15" s="91">
        <v>4333094.4400000004</v>
      </c>
      <c r="V15" s="91">
        <v>4052623.73</v>
      </c>
      <c r="W15" s="91">
        <v>662734.18000000005</v>
      </c>
      <c r="X15" s="91">
        <v>1544600.59</v>
      </c>
      <c r="Y15" s="91"/>
      <c r="Z15" s="91"/>
      <c r="AA15" s="91">
        <v>8550553.4100000001</v>
      </c>
      <c r="AB15" s="91"/>
      <c r="AC15" s="91"/>
      <c r="AD15" s="91">
        <v>76746900.530000001</v>
      </c>
      <c r="AE15" s="91">
        <v>29071924.300000001</v>
      </c>
      <c r="AF15" s="91"/>
      <c r="AG15" s="91">
        <v>617185.65</v>
      </c>
      <c r="AH15" s="91"/>
      <c r="AI15" s="91">
        <v>14651.61</v>
      </c>
      <c r="AJ15" s="91">
        <v>295192.37</v>
      </c>
      <c r="AK15" s="91">
        <v>2473858.62</v>
      </c>
      <c r="AL15" s="91">
        <v>1671526.09</v>
      </c>
      <c r="AM15" s="91">
        <v>176740453.75</v>
      </c>
      <c r="AN15" s="91">
        <v>295894.53999999998</v>
      </c>
      <c r="AO15" s="91"/>
      <c r="AP15" s="91">
        <v>1248162.0900000001</v>
      </c>
      <c r="AQ15" s="91"/>
      <c r="AR15" s="91"/>
      <c r="AS15" s="91"/>
      <c r="AT15" s="91">
        <v>502989244.12</v>
      </c>
      <c r="AU15" s="90" t="s">
        <v>344</v>
      </c>
      <c r="AV15" s="253"/>
      <c r="AW15" s="263"/>
    </row>
    <row r="16" spans="1:49" s="141" customFormat="1" x14ac:dyDescent="0.35">
      <c r="B16" s="234"/>
      <c r="C16" s="250" t="s">
        <v>73</v>
      </c>
      <c r="D16" s="88" t="s">
        <v>313</v>
      </c>
      <c r="E16" s="89">
        <v>48</v>
      </c>
      <c r="F16" s="89"/>
      <c r="G16" s="89"/>
      <c r="H16" s="89">
        <v>730</v>
      </c>
      <c r="I16" s="89">
        <v>30</v>
      </c>
      <c r="J16" s="89">
        <v>269</v>
      </c>
      <c r="K16" s="89">
        <v>105</v>
      </c>
      <c r="L16" s="89">
        <v>580.44000000000005</v>
      </c>
      <c r="M16" s="89"/>
      <c r="N16" s="89">
        <v>2.02</v>
      </c>
      <c r="O16" s="89">
        <v>6280</v>
      </c>
      <c r="P16" s="89">
        <v>7361</v>
      </c>
      <c r="Q16" s="89">
        <v>28557</v>
      </c>
      <c r="R16" s="89">
        <v>7394</v>
      </c>
      <c r="S16" s="89">
        <v>48</v>
      </c>
      <c r="T16" s="89"/>
      <c r="U16" s="89">
        <v>423.1</v>
      </c>
      <c r="V16" s="89">
        <v>970.29</v>
      </c>
      <c r="W16" s="89">
        <v>244</v>
      </c>
      <c r="X16" s="89">
        <v>939</v>
      </c>
      <c r="Y16" s="89"/>
      <c r="Z16" s="89">
        <v>15</v>
      </c>
      <c r="AA16" s="89">
        <v>22</v>
      </c>
      <c r="AB16" s="89">
        <v>15</v>
      </c>
      <c r="AC16" s="89"/>
      <c r="AD16" s="89">
        <v>28502</v>
      </c>
      <c r="AE16" s="89">
        <v>15023</v>
      </c>
      <c r="AF16" s="89">
        <v>156</v>
      </c>
      <c r="AG16" s="89">
        <v>736</v>
      </c>
      <c r="AH16" s="89">
        <v>326</v>
      </c>
      <c r="AI16" s="89">
        <v>48</v>
      </c>
      <c r="AJ16" s="89"/>
      <c r="AK16" s="89">
        <v>2365</v>
      </c>
      <c r="AL16" s="89">
        <v>1587</v>
      </c>
      <c r="AM16" s="89">
        <v>70664</v>
      </c>
      <c r="AN16" s="89">
        <v>223</v>
      </c>
      <c r="AO16" s="89"/>
      <c r="AP16" s="89"/>
      <c r="AQ16" s="89">
        <v>2367</v>
      </c>
      <c r="AR16" s="89"/>
      <c r="AS16" s="89"/>
      <c r="AT16" s="89">
        <v>176031</v>
      </c>
      <c r="AU16" s="88" t="s">
        <v>312</v>
      </c>
      <c r="AV16" s="252" t="s">
        <v>89</v>
      </c>
      <c r="AW16" s="263"/>
    </row>
    <row r="17" spans="2:49" s="141" customFormat="1" x14ac:dyDescent="0.35">
      <c r="B17" s="234"/>
      <c r="C17" s="251"/>
      <c r="D17" s="90" t="s">
        <v>345</v>
      </c>
      <c r="E17" s="91">
        <v>33072.33</v>
      </c>
      <c r="F17" s="91"/>
      <c r="G17" s="91"/>
      <c r="H17" s="91">
        <v>2749792.93</v>
      </c>
      <c r="I17" s="91">
        <v>52020.61</v>
      </c>
      <c r="J17" s="91">
        <v>519409.61</v>
      </c>
      <c r="K17" s="91">
        <v>241435.36</v>
      </c>
      <c r="L17" s="91">
        <v>6362784.7699999996</v>
      </c>
      <c r="M17" s="91"/>
      <c r="N17" s="91">
        <v>529.51</v>
      </c>
      <c r="O17" s="91">
        <v>3150068.69</v>
      </c>
      <c r="P17" s="91">
        <v>19813419.050000001</v>
      </c>
      <c r="Q17" s="91">
        <v>135235222.81999999</v>
      </c>
      <c r="R17" s="91">
        <v>16862548.75</v>
      </c>
      <c r="S17" s="91">
        <v>100480.8</v>
      </c>
      <c r="T17" s="91"/>
      <c r="U17" s="91">
        <v>3205297</v>
      </c>
      <c r="V17" s="91">
        <v>4132285.19</v>
      </c>
      <c r="W17" s="91">
        <v>2136064.0499999998</v>
      </c>
      <c r="X17" s="91">
        <v>2931214.96</v>
      </c>
      <c r="Y17" s="91"/>
      <c r="Z17" s="91">
        <v>26881.46</v>
      </c>
      <c r="AA17" s="91">
        <v>73734.42</v>
      </c>
      <c r="AB17" s="91">
        <v>48784.88</v>
      </c>
      <c r="AC17" s="91"/>
      <c r="AD17" s="91">
        <v>92426655.519999996</v>
      </c>
      <c r="AE17" s="91">
        <v>61070201.729999997</v>
      </c>
      <c r="AF17" s="91">
        <v>952069.3</v>
      </c>
      <c r="AG17" s="91">
        <v>4042168.37</v>
      </c>
      <c r="AH17" s="91">
        <v>2234005.92</v>
      </c>
      <c r="AI17" s="91">
        <v>20972.7</v>
      </c>
      <c r="AJ17" s="91"/>
      <c r="AK17" s="91">
        <v>4553510.72</v>
      </c>
      <c r="AL17" s="91">
        <v>3461752.59</v>
      </c>
      <c r="AM17" s="91">
        <v>404034760.88999999</v>
      </c>
      <c r="AN17" s="91">
        <v>377225.28</v>
      </c>
      <c r="AO17" s="91"/>
      <c r="AP17" s="91"/>
      <c r="AQ17" s="91">
        <v>29959684.57</v>
      </c>
      <c r="AR17" s="91"/>
      <c r="AS17" s="91"/>
      <c r="AT17" s="91">
        <v>800808054.75999999</v>
      </c>
      <c r="AU17" s="90" t="s">
        <v>344</v>
      </c>
      <c r="AV17" s="253"/>
      <c r="AW17" s="263"/>
    </row>
    <row r="18" spans="2:49" s="141" customFormat="1" x14ac:dyDescent="0.35">
      <c r="B18" s="234"/>
      <c r="C18" s="250" t="s">
        <v>74</v>
      </c>
      <c r="D18" s="88" t="s">
        <v>313</v>
      </c>
      <c r="E18" s="89">
        <v>20</v>
      </c>
      <c r="F18" s="89"/>
      <c r="G18" s="89"/>
      <c r="H18" s="89">
        <v>742</v>
      </c>
      <c r="I18" s="89">
        <v>793</v>
      </c>
      <c r="J18" s="89">
        <v>266</v>
      </c>
      <c r="K18" s="89">
        <v>30</v>
      </c>
      <c r="L18" s="89">
        <v>72.67</v>
      </c>
      <c r="M18" s="89"/>
      <c r="N18" s="89">
        <v>166.45</v>
      </c>
      <c r="O18" s="89">
        <v>9686</v>
      </c>
      <c r="P18" s="89">
        <v>7792</v>
      </c>
      <c r="Q18" s="89">
        <v>40470</v>
      </c>
      <c r="R18" s="89">
        <v>9725</v>
      </c>
      <c r="S18" s="89">
        <v>276</v>
      </c>
      <c r="T18" s="89"/>
      <c r="U18" s="89"/>
      <c r="V18" s="89">
        <v>95.07</v>
      </c>
      <c r="W18" s="89">
        <v>80</v>
      </c>
      <c r="X18" s="89">
        <v>1379</v>
      </c>
      <c r="Y18" s="89"/>
      <c r="Z18" s="89">
        <v>91</v>
      </c>
      <c r="AA18" s="89">
        <v>94</v>
      </c>
      <c r="AB18" s="89"/>
      <c r="AC18" s="89"/>
      <c r="AD18" s="89">
        <v>19975</v>
      </c>
      <c r="AE18" s="89">
        <v>8087</v>
      </c>
      <c r="AF18" s="89">
        <v>25</v>
      </c>
      <c r="AG18" s="89">
        <v>25</v>
      </c>
      <c r="AH18" s="89">
        <v>25</v>
      </c>
      <c r="AI18" s="89">
        <v>95</v>
      </c>
      <c r="AJ18" s="89"/>
      <c r="AK18" s="89">
        <v>3623</v>
      </c>
      <c r="AL18" s="89">
        <v>1489</v>
      </c>
      <c r="AM18" s="89">
        <v>77595</v>
      </c>
      <c r="AN18" s="89">
        <v>833</v>
      </c>
      <c r="AO18" s="89"/>
      <c r="AP18" s="89">
        <v>564</v>
      </c>
      <c r="AQ18" s="89">
        <v>733</v>
      </c>
      <c r="AR18" s="89"/>
      <c r="AS18" s="89"/>
      <c r="AT18" s="89">
        <v>184845</v>
      </c>
      <c r="AU18" s="88" t="s">
        <v>312</v>
      </c>
      <c r="AV18" s="252" t="s">
        <v>90</v>
      </c>
      <c r="AW18" s="263"/>
    </row>
    <row r="19" spans="2:49" s="141" customFormat="1" x14ac:dyDescent="0.35">
      <c r="B19" s="234"/>
      <c r="C19" s="251"/>
      <c r="D19" s="90" t="s">
        <v>345</v>
      </c>
      <c r="E19" s="91">
        <v>126752.2</v>
      </c>
      <c r="F19" s="91"/>
      <c r="G19" s="91"/>
      <c r="H19" s="91">
        <v>3073069.16</v>
      </c>
      <c r="I19" s="91">
        <v>1576857.38</v>
      </c>
      <c r="J19" s="91">
        <v>631295.02</v>
      </c>
      <c r="K19" s="91">
        <v>66264.84</v>
      </c>
      <c r="L19" s="91">
        <v>117295.14</v>
      </c>
      <c r="M19" s="91"/>
      <c r="N19" s="91">
        <v>169519.95</v>
      </c>
      <c r="O19" s="91">
        <v>4202490.84</v>
      </c>
      <c r="P19" s="91">
        <v>13682073.880000001</v>
      </c>
      <c r="Q19" s="91">
        <v>173579300.06999999</v>
      </c>
      <c r="R19" s="91">
        <v>9059856.4199999999</v>
      </c>
      <c r="S19" s="91">
        <v>1773864.23</v>
      </c>
      <c r="T19" s="91"/>
      <c r="U19" s="91"/>
      <c r="V19" s="91">
        <v>88730.32</v>
      </c>
      <c r="W19" s="91">
        <v>438026.33</v>
      </c>
      <c r="X19" s="91">
        <v>3626645.99</v>
      </c>
      <c r="Y19" s="91"/>
      <c r="Z19" s="91">
        <v>547375.59</v>
      </c>
      <c r="AA19" s="91">
        <v>241174.78</v>
      </c>
      <c r="AB19" s="91"/>
      <c r="AC19" s="91"/>
      <c r="AD19" s="91">
        <v>61371540.07</v>
      </c>
      <c r="AE19" s="91">
        <v>44307357.420000002</v>
      </c>
      <c r="AF19" s="91">
        <v>66919.929999999993</v>
      </c>
      <c r="AG19" s="91">
        <v>41575.17</v>
      </c>
      <c r="AH19" s="91">
        <v>66919.929999999993</v>
      </c>
      <c r="AI19" s="91">
        <v>41196.22</v>
      </c>
      <c r="AJ19" s="91"/>
      <c r="AK19" s="91">
        <v>7371945.25</v>
      </c>
      <c r="AL19" s="91">
        <v>2853092.24</v>
      </c>
      <c r="AM19" s="91">
        <v>406350635.75</v>
      </c>
      <c r="AN19" s="91">
        <v>1476464.45</v>
      </c>
      <c r="AO19" s="91"/>
      <c r="AP19" s="91">
        <v>2670278.89</v>
      </c>
      <c r="AQ19" s="91">
        <v>5329730.51</v>
      </c>
      <c r="AR19" s="91"/>
      <c r="AS19" s="91"/>
      <c r="AT19" s="91">
        <v>744948247.96000004</v>
      </c>
      <c r="AU19" s="90" t="s">
        <v>344</v>
      </c>
      <c r="AV19" s="253"/>
      <c r="AW19" s="263"/>
    </row>
    <row r="20" spans="2:49" s="141" customFormat="1" x14ac:dyDescent="0.35">
      <c r="B20" s="234"/>
      <c r="C20" s="250" t="s">
        <v>75</v>
      </c>
      <c r="D20" s="88" t="s">
        <v>313</v>
      </c>
      <c r="E20" s="89">
        <v>139</v>
      </c>
      <c r="F20" s="89"/>
      <c r="G20" s="89"/>
      <c r="H20" s="89">
        <v>147</v>
      </c>
      <c r="I20" s="89">
        <v>232</v>
      </c>
      <c r="J20" s="89">
        <v>298</v>
      </c>
      <c r="K20" s="89">
        <v>33</v>
      </c>
      <c r="L20" s="89">
        <v>6.77</v>
      </c>
      <c r="M20" s="89"/>
      <c r="N20" s="89">
        <v>38.46</v>
      </c>
      <c r="O20" s="89">
        <v>3591</v>
      </c>
      <c r="P20" s="89">
        <v>7774</v>
      </c>
      <c r="Q20" s="89">
        <v>35998</v>
      </c>
      <c r="R20" s="89">
        <v>10821</v>
      </c>
      <c r="S20" s="89">
        <v>279</v>
      </c>
      <c r="T20" s="89"/>
      <c r="U20" s="89"/>
      <c r="V20" s="89">
        <v>103.92</v>
      </c>
      <c r="W20" s="89">
        <v>21</v>
      </c>
      <c r="X20" s="89">
        <v>1108</v>
      </c>
      <c r="Y20" s="89"/>
      <c r="Z20" s="89">
        <v>176</v>
      </c>
      <c r="AA20" s="89"/>
      <c r="AB20" s="89"/>
      <c r="AC20" s="89"/>
      <c r="AD20" s="89">
        <v>27161</v>
      </c>
      <c r="AE20" s="89">
        <v>3471</v>
      </c>
      <c r="AF20" s="89">
        <v>59</v>
      </c>
      <c r="AG20" s="89">
        <v>74</v>
      </c>
      <c r="AH20" s="89">
        <v>65</v>
      </c>
      <c r="AI20" s="89">
        <v>104</v>
      </c>
      <c r="AJ20" s="89"/>
      <c r="AK20" s="89">
        <v>7208</v>
      </c>
      <c r="AL20" s="89">
        <v>1726</v>
      </c>
      <c r="AM20" s="89">
        <v>72069</v>
      </c>
      <c r="AN20" s="89">
        <v>1100</v>
      </c>
      <c r="AO20" s="89"/>
      <c r="AP20" s="89"/>
      <c r="AQ20" s="89">
        <v>1629</v>
      </c>
      <c r="AR20" s="89"/>
      <c r="AS20" s="89"/>
      <c r="AT20" s="89">
        <v>175431</v>
      </c>
      <c r="AU20" s="88" t="s">
        <v>312</v>
      </c>
      <c r="AV20" s="252" t="s">
        <v>91</v>
      </c>
      <c r="AW20" s="263"/>
    </row>
    <row r="21" spans="2:49" s="141" customFormat="1" x14ac:dyDescent="0.35">
      <c r="B21" s="234"/>
      <c r="C21" s="251"/>
      <c r="D21" s="90" t="s">
        <v>345</v>
      </c>
      <c r="E21" s="91">
        <v>34639.54</v>
      </c>
      <c r="F21" s="91"/>
      <c r="G21" s="91"/>
      <c r="H21" s="91">
        <v>367765.87</v>
      </c>
      <c r="I21" s="91">
        <v>491140.05</v>
      </c>
      <c r="J21" s="91">
        <v>768405.42</v>
      </c>
      <c r="K21" s="91">
        <v>55122.34</v>
      </c>
      <c r="L21" s="91">
        <v>10932.99</v>
      </c>
      <c r="M21" s="91"/>
      <c r="N21" s="91">
        <v>59354.93</v>
      </c>
      <c r="O21" s="91">
        <v>2377894.39</v>
      </c>
      <c r="P21" s="91">
        <v>17513549.699999999</v>
      </c>
      <c r="Q21" s="91">
        <v>183234537.38999999</v>
      </c>
      <c r="R21" s="91">
        <v>17317581.449999999</v>
      </c>
      <c r="S21" s="91">
        <v>531791.16</v>
      </c>
      <c r="T21" s="91"/>
      <c r="U21" s="91"/>
      <c r="V21" s="91">
        <v>96990.720000000001</v>
      </c>
      <c r="W21" s="91">
        <v>121810.41</v>
      </c>
      <c r="X21" s="91">
        <v>3496624.77</v>
      </c>
      <c r="Y21" s="91"/>
      <c r="Z21" s="91">
        <v>1181006.3899999999</v>
      </c>
      <c r="AA21" s="91"/>
      <c r="AB21" s="91"/>
      <c r="AC21" s="91"/>
      <c r="AD21" s="91">
        <v>83083588.819999993</v>
      </c>
      <c r="AE21" s="91">
        <v>13449620.85</v>
      </c>
      <c r="AF21" s="91">
        <v>171328.35</v>
      </c>
      <c r="AG21" s="91">
        <v>225792.09</v>
      </c>
      <c r="AH21" s="91">
        <v>166598.43</v>
      </c>
      <c r="AI21" s="91">
        <v>45031.41</v>
      </c>
      <c r="AJ21" s="91"/>
      <c r="AK21" s="91">
        <v>15163281.42</v>
      </c>
      <c r="AL21" s="91">
        <v>3529956.41</v>
      </c>
      <c r="AM21" s="91">
        <v>441528255.23000002</v>
      </c>
      <c r="AN21" s="91">
        <v>2573534.86</v>
      </c>
      <c r="AO21" s="91"/>
      <c r="AP21" s="91"/>
      <c r="AQ21" s="91">
        <v>6033565.9800000004</v>
      </c>
      <c r="AR21" s="91"/>
      <c r="AS21" s="91"/>
      <c r="AT21" s="91">
        <v>793629701.37</v>
      </c>
      <c r="AU21" s="90" t="s">
        <v>344</v>
      </c>
      <c r="AV21" s="253"/>
      <c r="AW21" s="263"/>
    </row>
    <row r="22" spans="2:49" s="141" customFormat="1" x14ac:dyDescent="0.35">
      <c r="B22" s="234"/>
      <c r="C22" s="250" t="s">
        <v>76</v>
      </c>
      <c r="D22" s="88" t="s">
        <v>313</v>
      </c>
      <c r="E22" s="89">
        <v>107</v>
      </c>
      <c r="F22" s="89"/>
      <c r="G22" s="89"/>
      <c r="H22" s="89">
        <v>437</v>
      </c>
      <c r="I22" s="89">
        <v>258</v>
      </c>
      <c r="J22" s="89">
        <v>1161</v>
      </c>
      <c r="K22" s="89">
        <v>322</v>
      </c>
      <c r="L22" s="89"/>
      <c r="M22" s="89"/>
      <c r="N22" s="89">
        <v>107.16</v>
      </c>
      <c r="O22" s="89">
        <v>5222</v>
      </c>
      <c r="P22" s="89">
        <v>7825</v>
      </c>
      <c r="Q22" s="89">
        <v>42719</v>
      </c>
      <c r="R22" s="89">
        <v>16029</v>
      </c>
      <c r="S22" s="89">
        <v>275</v>
      </c>
      <c r="T22" s="89"/>
      <c r="U22" s="89"/>
      <c r="V22" s="89">
        <v>80.37</v>
      </c>
      <c r="W22" s="89">
        <v>333</v>
      </c>
      <c r="X22" s="89">
        <v>1760</v>
      </c>
      <c r="Y22" s="89"/>
      <c r="Z22" s="89">
        <v>144</v>
      </c>
      <c r="AA22" s="89">
        <v>1417</v>
      </c>
      <c r="AB22" s="89"/>
      <c r="AC22" s="89">
        <v>64</v>
      </c>
      <c r="AD22" s="89">
        <v>25527</v>
      </c>
      <c r="AE22" s="89">
        <v>13238</v>
      </c>
      <c r="AF22" s="89">
        <v>62</v>
      </c>
      <c r="AG22" s="89">
        <v>31</v>
      </c>
      <c r="AH22" s="89">
        <v>101</v>
      </c>
      <c r="AI22" s="89">
        <v>80</v>
      </c>
      <c r="AJ22" s="89"/>
      <c r="AK22" s="89">
        <v>16151</v>
      </c>
      <c r="AL22" s="89">
        <v>7131</v>
      </c>
      <c r="AM22" s="89">
        <v>87729</v>
      </c>
      <c r="AN22" s="89">
        <v>1297</v>
      </c>
      <c r="AO22" s="89"/>
      <c r="AP22" s="89"/>
      <c r="AQ22" s="89">
        <v>1663</v>
      </c>
      <c r="AR22" s="89"/>
      <c r="AS22" s="89">
        <v>24</v>
      </c>
      <c r="AT22" s="89">
        <v>231295</v>
      </c>
      <c r="AU22" s="88" t="s">
        <v>312</v>
      </c>
      <c r="AV22" s="252" t="s">
        <v>92</v>
      </c>
      <c r="AW22" s="263"/>
    </row>
    <row r="23" spans="2:49" s="141" customFormat="1" x14ac:dyDescent="0.35">
      <c r="B23" s="234"/>
      <c r="C23" s="251"/>
      <c r="D23" s="90" t="s">
        <v>345</v>
      </c>
      <c r="E23" s="91">
        <v>26791.200000000001</v>
      </c>
      <c r="F23" s="91"/>
      <c r="G23" s="91"/>
      <c r="H23" s="91">
        <v>1297109.1200000001</v>
      </c>
      <c r="I23" s="91">
        <v>554634.63</v>
      </c>
      <c r="J23" s="91">
        <v>2473283.4900000002</v>
      </c>
      <c r="K23" s="91">
        <v>627188.57999999996</v>
      </c>
      <c r="L23" s="91"/>
      <c r="M23" s="91"/>
      <c r="N23" s="91">
        <v>128597.77</v>
      </c>
      <c r="O23" s="91">
        <v>3867899.4</v>
      </c>
      <c r="P23" s="91">
        <v>14718393.5</v>
      </c>
      <c r="Q23" s="91">
        <v>196645616.68000001</v>
      </c>
      <c r="R23" s="91">
        <v>18041484.91</v>
      </c>
      <c r="S23" s="91">
        <v>1258070.49</v>
      </c>
      <c r="T23" s="91"/>
      <c r="U23" s="91"/>
      <c r="V23" s="91">
        <v>75015.360000000001</v>
      </c>
      <c r="W23" s="91">
        <v>1538031.17</v>
      </c>
      <c r="X23" s="91">
        <v>4832665.5199999996</v>
      </c>
      <c r="Y23" s="91"/>
      <c r="Z23" s="91">
        <v>384787.85</v>
      </c>
      <c r="AA23" s="91">
        <v>12057211.32</v>
      </c>
      <c r="AB23" s="91"/>
      <c r="AC23" s="91">
        <v>93513.98</v>
      </c>
      <c r="AD23" s="91">
        <v>92587802</v>
      </c>
      <c r="AE23" s="91">
        <v>89125753.760000005</v>
      </c>
      <c r="AF23" s="91">
        <v>242037.09</v>
      </c>
      <c r="AG23" s="91">
        <v>113745.05</v>
      </c>
      <c r="AH23" s="91">
        <v>409494.06</v>
      </c>
      <c r="AI23" s="91">
        <v>34828.559999999998</v>
      </c>
      <c r="AJ23" s="91"/>
      <c r="AK23" s="91">
        <v>25114136.73</v>
      </c>
      <c r="AL23" s="91">
        <v>10934015.1</v>
      </c>
      <c r="AM23" s="91">
        <v>512722589.91000003</v>
      </c>
      <c r="AN23" s="91">
        <v>1539644.09</v>
      </c>
      <c r="AO23" s="91"/>
      <c r="AP23" s="91"/>
      <c r="AQ23" s="91">
        <v>4138524.4</v>
      </c>
      <c r="AR23" s="91"/>
      <c r="AS23" s="91">
        <v>171321.74</v>
      </c>
      <c r="AT23" s="91">
        <v>995754187.46000004</v>
      </c>
      <c r="AU23" s="90" t="s">
        <v>344</v>
      </c>
      <c r="AV23" s="253"/>
      <c r="AW23" s="263"/>
    </row>
    <row r="24" spans="2:49" s="141" customFormat="1" x14ac:dyDescent="0.35">
      <c r="B24" s="234"/>
      <c r="C24" s="250" t="s">
        <v>77</v>
      </c>
      <c r="D24" s="88" t="s">
        <v>313</v>
      </c>
      <c r="E24" s="89">
        <v>19</v>
      </c>
      <c r="F24" s="89"/>
      <c r="G24" s="89"/>
      <c r="H24" s="89">
        <v>1295</v>
      </c>
      <c r="I24" s="89">
        <v>41</v>
      </c>
      <c r="J24" s="89">
        <v>1068</v>
      </c>
      <c r="K24" s="89">
        <v>378</v>
      </c>
      <c r="L24" s="89">
        <v>589.63</v>
      </c>
      <c r="M24" s="89"/>
      <c r="N24" s="89">
        <v>128.72999999999999</v>
      </c>
      <c r="O24" s="89">
        <v>13262</v>
      </c>
      <c r="P24" s="89">
        <v>13603</v>
      </c>
      <c r="Q24" s="89">
        <v>50864</v>
      </c>
      <c r="R24" s="89">
        <v>24076</v>
      </c>
      <c r="S24" s="89">
        <v>1035</v>
      </c>
      <c r="T24" s="89"/>
      <c r="U24" s="89">
        <v>2.31</v>
      </c>
      <c r="V24" s="89"/>
      <c r="W24" s="89">
        <v>243</v>
      </c>
      <c r="X24" s="89">
        <v>2116</v>
      </c>
      <c r="Y24" s="89"/>
      <c r="Z24" s="89">
        <v>246</v>
      </c>
      <c r="AA24" s="89">
        <v>757</v>
      </c>
      <c r="AB24" s="89">
        <v>41</v>
      </c>
      <c r="AC24" s="89">
        <v>41</v>
      </c>
      <c r="AD24" s="89">
        <v>23058</v>
      </c>
      <c r="AE24" s="89">
        <v>18255</v>
      </c>
      <c r="AF24" s="89"/>
      <c r="AG24" s="89"/>
      <c r="AH24" s="89">
        <v>44</v>
      </c>
      <c r="AI24" s="89"/>
      <c r="AJ24" s="89">
        <v>41</v>
      </c>
      <c r="AK24" s="89">
        <v>14880</v>
      </c>
      <c r="AL24" s="89">
        <v>3309</v>
      </c>
      <c r="AM24" s="89">
        <v>83245</v>
      </c>
      <c r="AN24" s="89">
        <v>2035</v>
      </c>
      <c r="AO24" s="89"/>
      <c r="AP24" s="89">
        <v>163</v>
      </c>
      <c r="AQ24" s="89">
        <v>2528</v>
      </c>
      <c r="AR24" s="89"/>
      <c r="AS24" s="89"/>
      <c r="AT24" s="89">
        <v>257364</v>
      </c>
      <c r="AU24" s="88" t="s">
        <v>312</v>
      </c>
      <c r="AV24" s="252" t="s">
        <v>93</v>
      </c>
      <c r="AW24" s="263"/>
    </row>
    <row r="25" spans="2:49" s="141" customFormat="1" x14ac:dyDescent="0.35">
      <c r="B25" s="234"/>
      <c r="C25" s="251"/>
      <c r="D25" s="90" t="s">
        <v>345</v>
      </c>
      <c r="E25" s="91">
        <v>95415.37</v>
      </c>
      <c r="F25" s="91"/>
      <c r="G25" s="91"/>
      <c r="H25" s="91">
        <v>4642408.96</v>
      </c>
      <c r="I25" s="91">
        <v>93525.36</v>
      </c>
      <c r="J25" s="91">
        <v>2129387.2999999998</v>
      </c>
      <c r="K25" s="91">
        <v>770248.5</v>
      </c>
      <c r="L25" s="91">
        <v>3284684.45</v>
      </c>
      <c r="M25" s="91"/>
      <c r="N25" s="91">
        <v>735836.6</v>
      </c>
      <c r="O25" s="91">
        <v>11355333.49</v>
      </c>
      <c r="P25" s="91">
        <v>24297019.41</v>
      </c>
      <c r="Q25" s="91">
        <v>222388919.19</v>
      </c>
      <c r="R25" s="91">
        <v>23528303.09</v>
      </c>
      <c r="S25" s="91">
        <v>3493614.49</v>
      </c>
      <c r="T25" s="91"/>
      <c r="U25" s="91">
        <v>4389.5600000000004</v>
      </c>
      <c r="V25" s="91"/>
      <c r="W25" s="91">
        <v>893950.6</v>
      </c>
      <c r="X25" s="91">
        <v>5894638.1200000001</v>
      </c>
      <c r="Y25" s="91"/>
      <c r="Z25" s="91">
        <v>870850.11</v>
      </c>
      <c r="AA25" s="91">
        <v>3848942.25</v>
      </c>
      <c r="AB25" s="91">
        <v>130483.79</v>
      </c>
      <c r="AC25" s="91">
        <v>98042.5</v>
      </c>
      <c r="AD25" s="91">
        <v>48856167.159999996</v>
      </c>
      <c r="AE25" s="91">
        <v>76920889.519999996</v>
      </c>
      <c r="AF25" s="91"/>
      <c r="AG25" s="91"/>
      <c r="AH25" s="91">
        <v>161700</v>
      </c>
      <c r="AI25" s="91"/>
      <c r="AJ25" s="91">
        <v>68886.41</v>
      </c>
      <c r="AK25" s="91">
        <v>35572021.950000003</v>
      </c>
      <c r="AL25" s="91">
        <v>6575229.4500000002</v>
      </c>
      <c r="AM25" s="91">
        <v>478523418.18000001</v>
      </c>
      <c r="AN25" s="91">
        <v>3487843.8</v>
      </c>
      <c r="AO25" s="91"/>
      <c r="AP25" s="91">
        <v>708846.49</v>
      </c>
      <c r="AQ25" s="91">
        <v>6585812.8799999999</v>
      </c>
      <c r="AR25" s="91"/>
      <c r="AS25" s="91"/>
      <c r="AT25" s="91">
        <v>966016808.98000002</v>
      </c>
      <c r="AU25" s="90" t="s">
        <v>344</v>
      </c>
      <c r="AV25" s="253"/>
      <c r="AW25" s="263"/>
    </row>
    <row r="26" spans="2:49" s="141" customFormat="1" x14ac:dyDescent="0.35">
      <c r="B26" s="234"/>
      <c r="C26" s="250" t="s">
        <v>78</v>
      </c>
      <c r="D26" s="88" t="s">
        <v>313</v>
      </c>
      <c r="E26" s="89">
        <v>26</v>
      </c>
      <c r="F26" s="89"/>
      <c r="G26" s="89"/>
      <c r="H26" s="89">
        <v>742</v>
      </c>
      <c r="I26" s="89"/>
      <c r="J26" s="89">
        <v>1490</v>
      </c>
      <c r="K26" s="89">
        <v>145</v>
      </c>
      <c r="L26" s="89">
        <v>42.14</v>
      </c>
      <c r="M26" s="89"/>
      <c r="N26" s="89">
        <v>92.09</v>
      </c>
      <c r="O26" s="89">
        <v>19238</v>
      </c>
      <c r="P26" s="89">
        <v>53616</v>
      </c>
      <c r="Q26" s="89">
        <v>28278</v>
      </c>
      <c r="R26" s="89">
        <v>28278</v>
      </c>
      <c r="S26" s="89">
        <v>490</v>
      </c>
      <c r="T26" s="89"/>
      <c r="U26" s="89">
        <v>2.96</v>
      </c>
      <c r="V26" s="89"/>
      <c r="W26" s="89">
        <v>219</v>
      </c>
      <c r="X26" s="89">
        <v>1758</v>
      </c>
      <c r="Y26" s="89">
        <v>407</v>
      </c>
      <c r="Z26" s="89">
        <v>109</v>
      </c>
      <c r="AA26" s="89"/>
      <c r="AB26" s="89"/>
      <c r="AC26" s="89">
        <v>36</v>
      </c>
      <c r="AD26" s="89">
        <v>14909</v>
      </c>
      <c r="AE26" s="89">
        <v>36384</v>
      </c>
      <c r="AF26" s="89"/>
      <c r="AG26" s="89">
        <v>73</v>
      </c>
      <c r="AH26" s="89">
        <v>9</v>
      </c>
      <c r="AI26" s="89"/>
      <c r="AJ26" s="89">
        <v>36</v>
      </c>
      <c r="AK26" s="89">
        <v>9945</v>
      </c>
      <c r="AL26" s="89">
        <v>6259</v>
      </c>
      <c r="AM26" s="89">
        <v>101706</v>
      </c>
      <c r="AN26" s="89">
        <v>2127</v>
      </c>
      <c r="AO26" s="89"/>
      <c r="AP26" s="89">
        <v>36</v>
      </c>
      <c r="AQ26" s="89">
        <v>1572</v>
      </c>
      <c r="AR26" s="89"/>
      <c r="AS26" s="89">
        <v>139</v>
      </c>
      <c r="AT26" s="89">
        <v>308163</v>
      </c>
      <c r="AU26" s="88" t="s">
        <v>312</v>
      </c>
      <c r="AV26" s="252" t="s">
        <v>94</v>
      </c>
      <c r="AW26" s="263"/>
    </row>
    <row r="27" spans="2:49" s="141" customFormat="1" x14ac:dyDescent="0.35">
      <c r="B27" s="234"/>
      <c r="C27" s="251"/>
      <c r="D27" s="90" t="s">
        <v>345</v>
      </c>
      <c r="E27" s="91">
        <v>600213.17000000004</v>
      </c>
      <c r="F27" s="91"/>
      <c r="G27" s="91"/>
      <c r="H27" s="91">
        <v>1965214.83</v>
      </c>
      <c r="I27" s="91"/>
      <c r="J27" s="91">
        <v>3353683.88</v>
      </c>
      <c r="K27" s="91">
        <v>339011.83</v>
      </c>
      <c r="L27" s="91">
        <v>48628.959999999999</v>
      </c>
      <c r="M27" s="91"/>
      <c r="N27" s="91">
        <v>183294.16</v>
      </c>
      <c r="O27" s="91">
        <v>20732819.050000001</v>
      </c>
      <c r="P27" s="91">
        <v>114525435.70999999</v>
      </c>
      <c r="Q27" s="91">
        <v>55728221.350000001</v>
      </c>
      <c r="R27" s="91">
        <v>34287408.75</v>
      </c>
      <c r="S27" s="91">
        <v>1509679.02</v>
      </c>
      <c r="T27" s="91"/>
      <c r="U27" s="91">
        <v>7585.05</v>
      </c>
      <c r="V27" s="91"/>
      <c r="W27" s="91">
        <v>1179299.8999999999</v>
      </c>
      <c r="X27" s="91">
        <v>6038673.5999999996</v>
      </c>
      <c r="Y27" s="91">
        <v>2027963.44</v>
      </c>
      <c r="Z27" s="91">
        <v>191659.26</v>
      </c>
      <c r="AA27" s="91"/>
      <c r="AB27" s="91"/>
      <c r="AC27" s="91">
        <v>75997.59</v>
      </c>
      <c r="AD27" s="91">
        <v>28857978.719999999</v>
      </c>
      <c r="AE27" s="91">
        <v>166898851.56</v>
      </c>
      <c r="AF27" s="91"/>
      <c r="AG27" s="91">
        <v>352435.04</v>
      </c>
      <c r="AH27" s="91">
        <v>37038.980000000003</v>
      </c>
      <c r="AI27" s="91"/>
      <c r="AJ27" s="91">
        <v>61464.19</v>
      </c>
      <c r="AK27" s="91">
        <v>21478776.100000001</v>
      </c>
      <c r="AL27" s="91">
        <v>14854403.98</v>
      </c>
      <c r="AM27" s="91">
        <v>622499123.32000005</v>
      </c>
      <c r="AN27" s="91">
        <v>3711425.93</v>
      </c>
      <c r="AO27" s="91"/>
      <c r="AP27" s="91">
        <v>133222.87</v>
      </c>
      <c r="AQ27" s="91">
        <v>8718403.5800000001</v>
      </c>
      <c r="AR27" s="91"/>
      <c r="AS27" s="91">
        <v>603218.03</v>
      </c>
      <c r="AT27" s="91">
        <v>1111001131.8599999</v>
      </c>
      <c r="AU27" s="90" t="s">
        <v>344</v>
      </c>
      <c r="AV27" s="253"/>
      <c r="AW27" s="263"/>
    </row>
    <row r="28" spans="2:49" s="141" customFormat="1" x14ac:dyDescent="0.35">
      <c r="B28" s="234"/>
      <c r="C28" s="250" t="s">
        <v>79</v>
      </c>
      <c r="D28" s="88" t="s">
        <v>313</v>
      </c>
      <c r="E28" s="89">
        <v>78</v>
      </c>
      <c r="F28" s="89"/>
      <c r="G28" s="89"/>
      <c r="H28" s="89">
        <v>4662</v>
      </c>
      <c r="I28" s="89"/>
      <c r="J28" s="89">
        <v>598</v>
      </c>
      <c r="K28" s="89">
        <v>231</v>
      </c>
      <c r="L28" s="89">
        <v>1218.96</v>
      </c>
      <c r="M28" s="89">
        <v>263.79000000000002</v>
      </c>
      <c r="N28" s="89">
        <v>180.63</v>
      </c>
      <c r="O28" s="89">
        <v>24032</v>
      </c>
      <c r="P28" s="89">
        <v>46792</v>
      </c>
      <c r="Q28" s="89">
        <v>55648</v>
      </c>
      <c r="R28" s="89">
        <v>45319</v>
      </c>
      <c r="S28" s="89">
        <v>29766</v>
      </c>
      <c r="T28" s="89"/>
      <c r="U28" s="89"/>
      <c r="V28" s="89">
        <v>41.46</v>
      </c>
      <c r="W28" s="89">
        <v>156</v>
      </c>
      <c r="X28" s="89">
        <v>619</v>
      </c>
      <c r="Y28" s="89"/>
      <c r="Z28" s="89"/>
      <c r="AA28" s="89">
        <v>4615</v>
      </c>
      <c r="AB28" s="89">
        <v>145</v>
      </c>
      <c r="AC28" s="89">
        <v>21</v>
      </c>
      <c r="AD28" s="89">
        <v>18295</v>
      </c>
      <c r="AE28" s="89">
        <v>54176</v>
      </c>
      <c r="AF28" s="89">
        <v>81</v>
      </c>
      <c r="AG28" s="89">
        <v>364</v>
      </c>
      <c r="AH28" s="89">
        <v>212</v>
      </c>
      <c r="AI28" s="89">
        <v>636</v>
      </c>
      <c r="AJ28" s="89"/>
      <c r="AK28" s="89">
        <v>12033</v>
      </c>
      <c r="AL28" s="89">
        <v>3574</v>
      </c>
      <c r="AM28" s="89">
        <v>118391</v>
      </c>
      <c r="AN28" s="89">
        <v>7995</v>
      </c>
      <c r="AO28" s="89"/>
      <c r="AP28" s="89">
        <v>101</v>
      </c>
      <c r="AQ28" s="89">
        <v>450</v>
      </c>
      <c r="AR28" s="89">
        <v>22291</v>
      </c>
      <c r="AS28" s="89"/>
      <c r="AT28" s="89">
        <v>452985</v>
      </c>
      <c r="AU28" s="88" t="s">
        <v>312</v>
      </c>
      <c r="AV28" s="252" t="s">
        <v>95</v>
      </c>
      <c r="AW28" s="263"/>
    </row>
    <row r="29" spans="2:49" s="141" customFormat="1" x14ac:dyDescent="0.35">
      <c r="B29" s="234"/>
      <c r="C29" s="251"/>
      <c r="D29" s="90" t="s">
        <v>345</v>
      </c>
      <c r="E29" s="91">
        <v>1753381.74</v>
      </c>
      <c r="F29" s="91"/>
      <c r="G29" s="91"/>
      <c r="H29" s="91">
        <v>12224970.23</v>
      </c>
      <c r="I29" s="91"/>
      <c r="J29" s="91">
        <v>1757674.85</v>
      </c>
      <c r="K29" s="91">
        <v>613997.18000000005</v>
      </c>
      <c r="L29" s="91">
        <v>2527244.98</v>
      </c>
      <c r="M29" s="91">
        <v>985816.34</v>
      </c>
      <c r="N29" s="91">
        <v>529842.24</v>
      </c>
      <c r="O29" s="91">
        <v>26040219.800000001</v>
      </c>
      <c r="P29" s="91">
        <v>109026819.45999999</v>
      </c>
      <c r="Q29" s="91">
        <v>156742789.09</v>
      </c>
      <c r="R29" s="91">
        <v>76411175.379999995</v>
      </c>
      <c r="S29" s="91">
        <v>123578501.12</v>
      </c>
      <c r="T29" s="91"/>
      <c r="U29" s="91"/>
      <c r="V29" s="91">
        <v>88095.51</v>
      </c>
      <c r="W29" s="91">
        <v>1325864.58</v>
      </c>
      <c r="X29" s="91">
        <v>2404672.85</v>
      </c>
      <c r="Y29" s="91"/>
      <c r="Z29" s="91"/>
      <c r="AA29" s="91">
        <v>11621013.619999999</v>
      </c>
      <c r="AB29" s="91">
        <v>382680.33</v>
      </c>
      <c r="AC29" s="91">
        <v>116045.53</v>
      </c>
      <c r="AD29" s="91">
        <v>49087105.369999997</v>
      </c>
      <c r="AE29" s="91">
        <v>320930284.23000002</v>
      </c>
      <c r="AF29" s="91">
        <v>156888.44</v>
      </c>
      <c r="AG29" s="91">
        <v>690984.7</v>
      </c>
      <c r="AH29" s="91">
        <v>709901.93</v>
      </c>
      <c r="AI29" s="91">
        <v>900210.3</v>
      </c>
      <c r="AJ29" s="91"/>
      <c r="AK29" s="91">
        <v>22481343.260000002</v>
      </c>
      <c r="AL29" s="91">
        <v>6629767.1699999999</v>
      </c>
      <c r="AM29" s="91">
        <v>842912818.09000003</v>
      </c>
      <c r="AN29" s="91">
        <v>20281913.600000001</v>
      </c>
      <c r="AO29" s="91"/>
      <c r="AP29" s="91">
        <v>360515.89</v>
      </c>
      <c r="AQ29" s="91">
        <v>4864545.0999999996</v>
      </c>
      <c r="AR29" s="91">
        <v>134859356.22999999</v>
      </c>
      <c r="AS29" s="91"/>
      <c r="AT29" s="91">
        <v>1932996439.1300001</v>
      </c>
      <c r="AU29" s="90" t="s">
        <v>344</v>
      </c>
      <c r="AV29" s="253"/>
      <c r="AW29" s="263"/>
    </row>
    <row r="30" spans="2:49" s="141" customFormat="1" x14ac:dyDescent="0.35">
      <c r="B30" s="234"/>
      <c r="C30" s="250" t="s">
        <v>80</v>
      </c>
      <c r="D30" s="88" t="s">
        <v>313</v>
      </c>
      <c r="E30" s="89">
        <v>93</v>
      </c>
      <c r="F30" s="89"/>
      <c r="G30" s="89"/>
      <c r="H30" s="89">
        <v>10066</v>
      </c>
      <c r="I30" s="89">
        <v>34</v>
      </c>
      <c r="J30" s="89">
        <v>586</v>
      </c>
      <c r="K30" s="89">
        <v>190</v>
      </c>
      <c r="L30" s="89">
        <v>1273.68</v>
      </c>
      <c r="M30" s="89">
        <v>2710.39</v>
      </c>
      <c r="N30" s="89">
        <v>103.4</v>
      </c>
      <c r="O30" s="89">
        <v>21101</v>
      </c>
      <c r="P30" s="89">
        <v>49918</v>
      </c>
      <c r="Q30" s="89">
        <v>33958</v>
      </c>
      <c r="R30" s="89">
        <v>43443</v>
      </c>
      <c r="S30" s="89">
        <v>16837</v>
      </c>
      <c r="T30" s="89"/>
      <c r="U30" s="89">
        <v>14.16</v>
      </c>
      <c r="V30" s="89"/>
      <c r="W30" s="89">
        <v>428</v>
      </c>
      <c r="X30" s="89">
        <v>1080</v>
      </c>
      <c r="Y30" s="89">
        <v>185</v>
      </c>
      <c r="Z30" s="89">
        <v>3769</v>
      </c>
      <c r="AA30" s="89">
        <v>1398</v>
      </c>
      <c r="AB30" s="89">
        <v>51</v>
      </c>
      <c r="AC30" s="89"/>
      <c r="AD30" s="89">
        <v>67684</v>
      </c>
      <c r="AE30" s="89">
        <v>65060</v>
      </c>
      <c r="AF30" s="89"/>
      <c r="AG30" s="89">
        <v>168</v>
      </c>
      <c r="AH30" s="89">
        <v>185</v>
      </c>
      <c r="AI30" s="89">
        <v>263</v>
      </c>
      <c r="AJ30" s="89"/>
      <c r="AK30" s="89">
        <v>9198</v>
      </c>
      <c r="AL30" s="89">
        <v>4693</v>
      </c>
      <c r="AM30" s="89">
        <v>152939</v>
      </c>
      <c r="AN30" s="89">
        <v>4921</v>
      </c>
      <c r="AO30" s="89"/>
      <c r="AP30" s="89">
        <v>240</v>
      </c>
      <c r="AQ30" s="89">
        <v>1001</v>
      </c>
      <c r="AR30" s="89"/>
      <c r="AS30" s="89"/>
      <c r="AT30" s="89">
        <v>493593</v>
      </c>
      <c r="AU30" s="88" t="s">
        <v>312</v>
      </c>
      <c r="AV30" s="252" t="s">
        <v>96</v>
      </c>
      <c r="AW30" s="263"/>
    </row>
    <row r="31" spans="2:49" s="141" customFormat="1" x14ac:dyDescent="0.35">
      <c r="B31" s="234"/>
      <c r="C31" s="251"/>
      <c r="D31" s="90" t="s">
        <v>345</v>
      </c>
      <c r="E31" s="91">
        <v>93306.32</v>
      </c>
      <c r="F31" s="91"/>
      <c r="G31" s="91"/>
      <c r="H31" s="91">
        <v>89118434.989999995</v>
      </c>
      <c r="I31" s="91">
        <v>96043.78</v>
      </c>
      <c r="J31" s="91">
        <v>1757892.26</v>
      </c>
      <c r="K31" s="91">
        <v>367178.35</v>
      </c>
      <c r="L31" s="91">
        <v>5176346.0199999996</v>
      </c>
      <c r="M31" s="91">
        <v>28744543.010000002</v>
      </c>
      <c r="N31" s="91">
        <v>270898.61</v>
      </c>
      <c r="O31" s="91">
        <v>24760195.859999999</v>
      </c>
      <c r="P31" s="91">
        <v>133456290.03</v>
      </c>
      <c r="Q31" s="91">
        <v>86256780.439999998</v>
      </c>
      <c r="R31" s="91">
        <v>80123179.859999999</v>
      </c>
      <c r="S31" s="91">
        <v>80661847.140000001</v>
      </c>
      <c r="T31" s="91"/>
      <c r="U31" s="91">
        <v>36822.879999999997</v>
      </c>
      <c r="V31" s="91"/>
      <c r="W31" s="91">
        <v>2974087.74</v>
      </c>
      <c r="X31" s="91">
        <v>5235955.6500000004</v>
      </c>
      <c r="Y31" s="91">
        <v>461716.53</v>
      </c>
      <c r="Z31" s="91">
        <v>10716057.24</v>
      </c>
      <c r="AA31" s="91">
        <v>2540626.2999999998</v>
      </c>
      <c r="AB31" s="91">
        <v>527227.07999999996</v>
      </c>
      <c r="AC31" s="91"/>
      <c r="AD31" s="91">
        <v>217024709.56</v>
      </c>
      <c r="AE31" s="91">
        <v>430720659.60000002</v>
      </c>
      <c r="AF31" s="91"/>
      <c r="AG31" s="91">
        <v>234232.38</v>
      </c>
      <c r="AH31" s="91">
        <v>545851.54</v>
      </c>
      <c r="AI31" s="91">
        <v>473190</v>
      </c>
      <c r="AJ31" s="91"/>
      <c r="AK31" s="91">
        <v>20724898.289999999</v>
      </c>
      <c r="AL31" s="91">
        <v>9843575.0999999996</v>
      </c>
      <c r="AM31" s="91">
        <v>989856706.02999997</v>
      </c>
      <c r="AN31" s="91">
        <v>11917083.33</v>
      </c>
      <c r="AO31" s="91"/>
      <c r="AP31" s="91">
        <v>1720139.28</v>
      </c>
      <c r="AQ31" s="91">
        <v>3980051.88</v>
      </c>
      <c r="AR31" s="91"/>
      <c r="AS31" s="91"/>
      <c r="AT31" s="91">
        <v>2240416527.0700002</v>
      </c>
      <c r="AU31" s="90" t="s">
        <v>344</v>
      </c>
      <c r="AV31" s="253"/>
      <c r="AW31" s="263"/>
    </row>
    <row r="32" spans="2:49" s="141" customFormat="1" x14ac:dyDescent="0.35">
      <c r="B32" s="234"/>
      <c r="C32" s="250" t="s">
        <v>81</v>
      </c>
      <c r="D32" s="88" t="s">
        <v>313</v>
      </c>
      <c r="E32" s="89">
        <v>53</v>
      </c>
      <c r="F32" s="89"/>
      <c r="G32" s="89"/>
      <c r="H32" s="89">
        <v>4465</v>
      </c>
      <c r="I32" s="89">
        <v>40</v>
      </c>
      <c r="J32" s="89">
        <v>946</v>
      </c>
      <c r="K32" s="89">
        <v>308</v>
      </c>
      <c r="L32" s="89">
        <v>7308.8</v>
      </c>
      <c r="M32" s="89">
        <v>920.48</v>
      </c>
      <c r="N32" s="89">
        <v>239.88</v>
      </c>
      <c r="O32" s="89">
        <v>36643</v>
      </c>
      <c r="P32" s="89">
        <v>55544</v>
      </c>
      <c r="Q32" s="89">
        <v>50536</v>
      </c>
      <c r="R32" s="89">
        <v>66036</v>
      </c>
      <c r="S32" s="89">
        <v>37399</v>
      </c>
      <c r="T32" s="89"/>
      <c r="U32" s="89"/>
      <c r="V32" s="89">
        <v>143.43</v>
      </c>
      <c r="W32" s="89">
        <v>1010</v>
      </c>
      <c r="X32" s="89">
        <v>627</v>
      </c>
      <c r="Y32" s="89"/>
      <c r="Z32" s="89">
        <v>2639</v>
      </c>
      <c r="AA32" s="89">
        <v>780</v>
      </c>
      <c r="AB32" s="89"/>
      <c r="AC32" s="89"/>
      <c r="AD32" s="89">
        <v>63244</v>
      </c>
      <c r="AE32" s="89">
        <v>88410</v>
      </c>
      <c r="AF32" s="89"/>
      <c r="AG32" s="89">
        <v>219</v>
      </c>
      <c r="AH32" s="89"/>
      <c r="AI32" s="89">
        <v>1861</v>
      </c>
      <c r="AJ32" s="89"/>
      <c r="AK32" s="89">
        <v>12743</v>
      </c>
      <c r="AL32" s="89">
        <v>2500</v>
      </c>
      <c r="AM32" s="89">
        <v>240630</v>
      </c>
      <c r="AN32" s="89">
        <v>15293</v>
      </c>
      <c r="AO32" s="89"/>
      <c r="AP32" s="89">
        <v>385</v>
      </c>
      <c r="AQ32" s="89">
        <v>494</v>
      </c>
      <c r="AR32" s="89"/>
      <c r="AS32" s="89"/>
      <c r="AT32" s="89">
        <v>691418</v>
      </c>
      <c r="AU32" s="88" t="s">
        <v>312</v>
      </c>
      <c r="AV32" s="252" t="s">
        <v>97</v>
      </c>
      <c r="AW32" s="263"/>
    </row>
    <row r="33" spans="2:49" s="141" customFormat="1" x14ac:dyDescent="0.35">
      <c r="B33" s="235"/>
      <c r="C33" s="251"/>
      <c r="D33" s="90" t="s">
        <v>345</v>
      </c>
      <c r="E33" s="91">
        <v>124617.58</v>
      </c>
      <c r="F33" s="91"/>
      <c r="G33" s="91"/>
      <c r="H33" s="91">
        <v>14310368.51</v>
      </c>
      <c r="I33" s="91">
        <v>87157.19</v>
      </c>
      <c r="J33" s="91">
        <v>2511555.88</v>
      </c>
      <c r="K33" s="91">
        <v>959243.48</v>
      </c>
      <c r="L33" s="91">
        <v>39752935.460000001</v>
      </c>
      <c r="M33" s="91">
        <v>6375202.0300000003</v>
      </c>
      <c r="N33" s="91">
        <v>1247387.27</v>
      </c>
      <c r="O33" s="91">
        <v>36308623.869999997</v>
      </c>
      <c r="P33" s="91">
        <v>126765756.78</v>
      </c>
      <c r="Q33" s="91">
        <v>94096786.519999996</v>
      </c>
      <c r="R33" s="91">
        <v>175349413.55000001</v>
      </c>
      <c r="S33" s="91">
        <v>121557993.81</v>
      </c>
      <c r="T33" s="91"/>
      <c r="U33" s="91"/>
      <c r="V33" s="91">
        <v>366348.98</v>
      </c>
      <c r="W33" s="91">
        <v>8144951.4800000004</v>
      </c>
      <c r="X33" s="91">
        <v>2926096.04</v>
      </c>
      <c r="Y33" s="91"/>
      <c r="Z33" s="91">
        <v>15414026.119999999</v>
      </c>
      <c r="AA33" s="91">
        <v>1807790.19</v>
      </c>
      <c r="AB33" s="91"/>
      <c r="AC33" s="91"/>
      <c r="AD33" s="91">
        <v>168858797.43000001</v>
      </c>
      <c r="AE33" s="91">
        <v>613680679.58000004</v>
      </c>
      <c r="AF33" s="91"/>
      <c r="AG33" s="91">
        <v>770869.26</v>
      </c>
      <c r="AH33" s="91"/>
      <c r="AI33" s="91">
        <v>6734818.0999999996</v>
      </c>
      <c r="AJ33" s="91"/>
      <c r="AK33" s="91">
        <v>28401447.870000001</v>
      </c>
      <c r="AL33" s="91">
        <v>4397270.33</v>
      </c>
      <c r="AM33" s="91">
        <v>1551987421.4300001</v>
      </c>
      <c r="AN33" s="91">
        <v>70144330.780000001</v>
      </c>
      <c r="AO33" s="91"/>
      <c r="AP33" s="91">
        <v>531588.87</v>
      </c>
      <c r="AQ33" s="91">
        <v>3503091.63</v>
      </c>
      <c r="AR33" s="91"/>
      <c r="AS33" s="91"/>
      <c r="AT33" s="91">
        <v>3097116570.0300002</v>
      </c>
      <c r="AU33" s="90" t="s">
        <v>344</v>
      </c>
      <c r="AV33" s="253"/>
      <c r="AW33" s="264"/>
    </row>
    <row r="34" spans="2:49" s="141" customFormat="1" x14ac:dyDescent="0.35">
      <c r="B34" s="254" t="s">
        <v>82</v>
      </c>
      <c r="C34" s="255"/>
      <c r="D34" s="92" t="s">
        <v>313</v>
      </c>
      <c r="E34" s="93">
        <v>641</v>
      </c>
      <c r="F34" s="93"/>
      <c r="G34" s="93">
        <v>53</v>
      </c>
      <c r="H34" s="93">
        <v>46238</v>
      </c>
      <c r="I34" s="93">
        <v>1428</v>
      </c>
      <c r="J34" s="93">
        <v>6681</v>
      </c>
      <c r="K34" s="93">
        <v>1742</v>
      </c>
      <c r="L34" s="93">
        <v>14203.53</v>
      </c>
      <c r="M34" s="93">
        <v>4269.7</v>
      </c>
      <c r="N34" s="93">
        <v>1831.86</v>
      </c>
      <c r="O34" s="93">
        <v>160488</v>
      </c>
      <c r="P34" s="93">
        <v>321060</v>
      </c>
      <c r="Q34" s="93">
        <v>411904</v>
      </c>
      <c r="R34" s="93">
        <v>294177</v>
      </c>
      <c r="S34" s="93">
        <v>90473</v>
      </c>
      <c r="T34" s="93"/>
      <c r="U34" s="93">
        <v>1367.13</v>
      </c>
      <c r="V34" s="93">
        <v>3310.53</v>
      </c>
      <c r="W34" s="93">
        <v>4359</v>
      </c>
      <c r="X34" s="93">
        <v>12777</v>
      </c>
      <c r="Y34" s="93">
        <v>685</v>
      </c>
      <c r="Z34" s="93">
        <v>7190</v>
      </c>
      <c r="AA34" s="93">
        <v>11785</v>
      </c>
      <c r="AB34" s="93">
        <v>252</v>
      </c>
      <c r="AC34" s="93">
        <v>163</v>
      </c>
      <c r="AD34" s="93">
        <v>366274</v>
      </c>
      <c r="AE34" s="93">
        <v>318439</v>
      </c>
      <c r="AF34" s="93">
        <v>384</v>
      </c>
      <c r="AG34" s="93">
        <v>2603</v>
      </c>
      <c r="AH34" s="93">
        <v>1025</v>
      </c>
      <c r="AI34" s="93">
        <v>3704</v>
      </c>
      <c r="AJ34" s="93">
        <v>368</v>
      </c>
      <c r="AK34" s="93">
        <v>91873</v>
      </c>
      <c r="AL34" s="93">
        <v>34505</v>
      </c>
      <c r="AM34" s="93">
        <v>1185179</v>
      </c>
      <c r="AN34" s="93">
        <v>38227</v>
      </c>
      <c r="AO34" s="93"/>
      <c r="AP34" s="93">
        <v>2324</v>
      </c>
      <c r="AQ34" s="93">
        <v>12780</v>
      </c>
      <c r="AR34" s="93">
        <v>22291</v>
      </c>
      <c r="AS34" s="93">
        <v>163</v>
      </c>
      <c r="AT34" s="93">
        <v>3477216</v>
      </c>
      <c r="AU34" s="92" t="s">
        <v>312</v>
      </c>
      <c r="AV34" s="258" t="s">
        <v>98</v>
      </c>
      <c r="AW34" s="259"/>
    </row>
    <row r="35" spans="2:49" s="141" customFormat="1" x14ac:dyDescent="0.35">
      <c r="B35" s="256"/>
      <c r="C35" s="257"/>
      <c r="D35" s="94" t="s">
        <v>345</v>
      </c>
      <c r="E35" s="95">
        <v>3041438.01</v>
      </c>
      <c r="F35" s="95"/>
      <c r="G35" s="95">
        <v>22551.98</v>
      </c>
      <c r="H35" s="95">
        <v>215667876.81</v>
      </c>
      <c r="I35" s="95">
        <v>2951379</v>
      </c>
      <c r="J35" s="95">
        <v>15902587.710000001</v>
      </c>
      <c r="K35" s="95">
        <v>4039690.47</v>
      </c>
      <c r="L35" s="95">
        <v>63574327.840000004</v>
      </c>
      <c r="M35" s="95">
        <v>36967755.189999998</v>
      </c>
      <c r="N35" s="95">
        <v>4907254.18</v>
      </c>
      <c r="O35" s="95">
        <v>158357237.91</v>
      </c>
      <c r="P35" s="95">
        <v>789892092.94000006</v>
      </c>
      <c r="Q35" s="95">
        <v>1416777105.97</v>
      </c>
      <c r="R35" s="95">
        <v>540660057.63999999</v>
      </c>
      <c r="S35" s="95">
        <v>355249601.99000001</v>
      </c>
      <c r="T35" s="95"/>
      <c r="U35" s="95">
        <v>10497881.970000001</v>
      </c>
      <c r="V35" s="95">
        <v>19824745.850000001</v>
      </c>
      <c r="W35" s="95">
        <v>28248972.59</v>
      </c>
      <c r="X35" s="95">
        <v>41048118.460000001</v>
      </c>
      <c r="Y35" s="95">
        <v>4008862.39</v>
      </c>
      <c r="Z35" s="95">
        <v>29332644.02</v>
      </c>
      <c r="AA35" s="95">
        <v>41559966.399999999</v>
      </c>
      <c r="AB35" s="95">
        <v>1089176.08</v>
      </c>
      <c r="AC35" s="95">
        <v>383599.6</v>
      </c>
      <c r="AD35" s="95">
        <v>1077123598.1400001</v>
      </c>
      <c r="AE35" s="95">
        <v>1872175248.52</v>
      </c>
      <c r="AF35" s="95">
        <v>1589243.1</v>
      </c>
      <c r="AG35" s="95">
        <v>8341165.5899999999</v>
      </c>
      <c r="AH35" s="95">
        <v>4641172.3899999997</v>
      </c>
      <c r="AI35" s="95">
        <v>18671112.989999998</v>
      </c>
      <c r="AJ35" s="95">
        <v>639704.13</v>
      </c>
      <c r="AK35" s="95">
        <v>187730482.30000001</v>
      </c>
      <c r="AL35" s="95">
        <v>67069386.280000001</v>
      </c>
      <c r="AM35" s="95">
        <v>7351686885.3999996</v>
      </c>
      <c r="AN35" s="95">
        <v>120018593.73999999</v>
      </c>
      <c r="AO35" s="95"/>
      <c r="AP35" s="95">
        <v>8759217.5500000007</v>
      </c>
      <c r="AQ35" s="95">
        <v>77462759.400000006</v>
      </c>
      <c r="AR35" s="95">
        <v>134859356.22999999</v>
      </c>
      <c r="AS35" s="95">
        <v>774539.77</v>
      </c>
      <c r="AT35" s="95">
        <v>14715547390.49</v>
      </c>
      <c r="AU35" s="94" t="s">
        <v>344</v>
      </c>
      <c r="AV35" s="260"/>
      <c r="AW35" s="261"/>
    </row>
    <row r="36" spans="2:49" x14ac:dyDescent="0.35">
      <c r="B36" s="233">
        <v>2022</v>
      </c>
      <c r="C36" s="250" t="s">
        <v>70</v>
      </c>
      <c r="D36" s="88" t="s">
        <v>313</v>
      </c>
      <c r="E36" s="89">
        <v>103.05806359844051</v>
      </c>
      <c r="F36" s="89"/>
      <c r="G36" s="89"/>
      <c r="H36" s="89">
        <v>18958</v>
      </c>
      <c r="I36" s="89">
        <v>175</v>
      </c>
      <c r="J36" s="89">
        <v>998</v>
      </c>
      <c r="K36" s="89">
        <v>0</v>
      </c>
      <c r="L36" s="89">
        <v>4.24</v>
      </c>
      <c r="M36" s="89">
        <v>0.6</v>
      </c>
      <c r="N36" s="89">
        <v>0.9</v>
      </c>
      <c r="O36" s="89">
        <v>26707</v>
      </c>
      <c r="P36" s="89">
        <v>29787</v>
      </c>
      <c r="Q36" s="89">
        <v>27707</v>
      </c>
      <c r="R36" s="89">
        <v>30738</v>
      </c>
      <c r="S36" s="89">
        <v>4697</v>
      </c>
      <c r="T36" s="89"/>
      <c r="U36" s="89"/>
      <c r="V36" s="89">
        <v>94.42</v>
      </c>
      <c r="W36" s="89">
        <v>3853</v>
      </c>
      <c r="X36" s="89">
        <v>479</v>
      </c>
      <c r="Y36" s="89"/>
      <c r="Z36" s="89">
        <v>848</v>
      </c>
      <c r="AA36" s="89">
        <v>604</v>
      </c>
      <c r="AB36" s="89">
        <v>520</v>
      </c>
      <c r="AC36" s="89">
        <v>449</v>
      </c>
      <c r="AD36" s="89">
        <v>41949</v>
      </c>
      <c r="AE36" s="89">
        <v>247220</v>
      </c>
      <c r="AF36" s="89"/>
      <c r="AG36" s="89">
        <v>90</v>
      </c>
      <c r="AH36" s="89">
        <v>1</v>
      </c>
      <c r="AI36" s="89">
        <v>1</v>
      </c>
      <c r="AJ36" s="89"/>
      <c r="AK36" s="89">
        <v>10534</v>
      </c>
      <c r="AL36" s="89">
        <v>4997</v>
      </c>
      <c r="AM36" s="89">
        <v>91580</v>
      </c>
      <c r="AN36" s="89">
        <v>1875</v>
      </c>
      <c r="AO36" s="89"/>
      <c r="AP36" s="89"/>
      <c r="AQ36" s="89">
        <v>3967</v>
      </c>
      <c r="AR36" s="89"/>
      <c r="AS36" s="89"/>
      <c r="AT36" s="89">
        <v>548936</v>
      </c>
      <c r="AU36" s="88" t="s">
        <v>312</v>
      </c>
      <c r="AV36" s="252" t="s">
        <v>86</v>
      </c>
      <c r="AW36" s="262">
        <v>2022</v>
      </c>
    </row>
    <row r="37" spans="2:49" x14ac:dyDescent="0.35">
      <c r="B37" s="234"/>
      <c r="C37" s="251"/>
      <c r="D37" s="90" t="s">
        <v>345</v>
      </c>
      <c r="E37" s="91">
        <v>322104.12982974574</v>
      </c>
      <c r="F37" s="91"/>
      <c r="G37" s="91"/>
      <c r="H37" s="91">
        <v>52108902.780000001</v>
      </c>
      <c r="I37" s="91">
        <v>481778.89</v>
      </c>
      <c r="J37" s="91">
        <v>2852397.64</v>
      </c>
      <c r="K37" s="91">
        <v>0</v>
      </c>
      <c r="L37" s="91">
        <v>20810.740000000002</v>
      </c>
      <c r="M37" s="91">
        <v>2886.99</v>
      </c>
      <c r="N37" s="91">
        <v>9203.61</v>
      </c>
      <c r="O37" s="91">
        <v>18968403.25</v>
      </c>
      <c r="P37" s="91">
        <v>79049850.75</v>
      </c>
      <c r="Q37" s="91">
        <v>43082799.009999998</v>
      </c>
      <c r="R37" s="91">
        <v>41136687.980000019</v>
      </c>
      <c r="S37" s="91">
        <v>12994390.050000001</v>
      </c>
      <c r="T37" s="91"/>
      <c r="U37" s="91"/>
      <c r="V37" s="91">
        <v>48355.41</v>
      </c>
      <c r="W37" s="91">
        <v>17200968.25</v>
      </c>
      <c r="X37" s="91">
        <v>455578.99</v>
      </c>
      <c r="Y37" s="91"/>
      <c r="Z37" s="91">
        <v>4137156.81</v>
      </c>
      <c r="AA37" s="91">
        <v>1894482.07</v>
      </c>
      <c r="AB37" s="91">
        <v>4826032.01</v>
      </c>
      <c r="AC37" s="91">
        <v>1083331.31</v>
      </c>
      <c r="AD37" s="91">
        <v>154244307.38</v>
      </c>
      <c r="AE37" s="91">
        <v>2273961186.46</v>
      </c>
      <c r="AF37" s="91"/>
      <c r="AG37" s="91">
        <v>167891.17</v>
      </c>
      <c r="AH37" s="91">
        <v>0</v>
      </c>
      <c r="AI37" s="91">
        <v>11130.83</v>
      </c>
      <c r="AJ37" s="91"/>
      <c r="AK37" s="91">
        <v>9237670.7100000009</v>
      </c>
      <c r="AL37" s="91">
        <v>5979237.7699999996</v>
      </c>
      <c r="AM37" s="91">
        <v>408357070.75</v>
      </c>
      <c r="AN37" s="91">
        <v>3261912.1999999881</v>
      </c>
      <c r="AO37" s="91"/>
      <c r="AP37" s="91"/>
      <c r="AQ37" s="91">
        <v>11274087.24</v>
      </c>
      <c r="AR37" s="91"/>
      <c r="AS37" s="91"/>
      <c r="AT37" s="91">
        <v>3147170615.1799998</v>
      </c>
      <c r="AU37" s="90" t="s">
        <v>344</v>
      </c>
      <c r="AV37" s="253"/>
      <c r="AW37" s="263"/>
    </row>
    <row r="38" spans="2:49" x14ac:dyDescent="0.35">
      <c r="B38" s="234"/>
      <c r="C38" s="250" t="s">
        <v>71</v>
      </c>
      <c r="D38" s="88" t="s">
        <v>313</v>
      </c>
      <c r="E38" s="89">
        <v>755.76044204307709</v>
      </c>
      <c r="F38" s="89"/>
      <c r="G38" s="89"/>
      <c r="H38" s="89">
        <v>697</v>
      </c>
      <c r="I38" s="89"/>
      <c r="J38" s="89"/>
      <c r="K38" s="89">
        <v>0</v>
      </c>
      <c r="L38" s="89">
        <v>4.46</v>
      </c>
      <c r="M38" s="89"/>
      <c r="N38" s="89">
        <v>1142.75</v>
      </c>
      <c r="O38" s="89">
        <v>32639</v>
      </c>
      <c r="P38" s="89">
        <v>59757</v>
      </c>
      <c r="Q38" s="89">
        <v>41936</v>
      </c>
      <c r="R38" s="89">
        <v>30025</v>
      </c>
      <c r="S38" s="89">
        <v>3788</v>
      </c>
      <c r="T38" s="89">
        <v>121</v>
      </c>
      <c r="U38" s="89">
        <v>5946.92</v>
      </c>
      <c r="V38" s="89">
        <v>5711.5</v>
      </c>
      <c r="W38" s="89">
        <v>861</v>
      </c>
      <c r="X38" s="89">
        <v>287</v>
      </c>
      <c r="Y38" s="89"/>
      <c r="Z38" s="89">
        <v>963</v>
      </c>
      <c r="AA38" s="89">
        <v>671</v>
      </c>
      <c r="AB38" s="89"/>
      <c r="AC38" s="89"/>
      <c r="AD38" s="89">
        <v>66657</v>
      </c>
      <c r="AE38" s="89">
        <v>313256</v>
      </c>
      <c r="AF38" s="89"/>
      <c r="AG38" s="89"/>
      <c r="AH38" s="89">
        <v>0</v>
      </c>
      <c r="AI38" s="89"/>
      <c r="AJ38" s="89"/>
      <c r="AK38" s="89">
        <v>24636</v>
      </c>
      <c r="AL38" s="89">
        <v>7613</v>
      </c>
      <c r="AM38" s="89">
        <v>80884</v>
      </c>
      <c r="AN38" s="89">
        <v>1723</v>
      </c>
      <c r="AO38" s="89"/>
      <c r="AP38" s="89"/>
      <c r="AQ38" s="89">
        <v>8965</v>
      </c>
      <c r="AR38" s="89"/>
      <c r="AS38" s="89"/>
      <c r="AT38" s="89">
        <v>689040</v>
      </c>
      <c r="AU38" s="88" t="s">
        <v>312</v>
      </c>
      <c r="AV38" s="252" t="s">
        <v>87</v>
      </c>
      <c r="AW38" s="263"/>
    </row>
    <row r="39" spans="2:49" x14ac:dyDescent="0.35">
      <c r="B39" s="234"/>
      <c r="C39" s="251"/>
      <c r="D39" s="90" t="s">
        <v>345</v>
      </c>
      <c r="E39" s="91">
        <v>3131190.4197517536</v>
      </c>
      <c r="F39" s="91"/>
      <c r="G39" s="91"/>
      <c r="H39" s="91">
        <v>1354765.83</v>
      </c>
      <c r="I39" s="91"/>
      <c r="J39" s="91"/>
      <c r="K39" s="91">
        <v>0</v>
      </c>
      <c r="L39" s="91">
        <v>12607.41</v>
      </c>
      <c r="M39" s="91"/>
      <c r="N39" s="91">
        <v>7372932.2800000003</v>
      </c>
      <c r="O39" s="91">
        <v>32070176.5</v>
      </c>
      <c r="P39" s="91">
        <v>560445289.13</v>
      </c>
      <c r="Q39" s="91">
        <v>112361708.40000001</v>
      </c>
      <c r="R39" s="91">
        <v>31864844.050000072</v>
      </c>
      <c r="S39" s="91">
        <v>16256879.109999999</v>
      </c>
      <c r="T39" s="91">
        <v>61793.120000000003</v>
      </c>
      <c r="U39" s="91">
        <v>36529911.689999998</v>
      </c>
      <c r="V39" s="91">
        <v>1735126.8</v>
      </c>
      <c r="W39" s="91">
        <v>6150511.9500000002</v>
      </c>
      <c r="X39" s="91">
        <v>1976950.27</v>
      </c>
      <c r="Y39" s="91"/>
      <c r="Z39" s="91">
        <v>7145817.1500000004</v>
      </c>
      <c r="AA39" s="91">
        <v>2328734.48</v>
      </c>
      <c r="AB39" s="91"/>
      <c r="AC39" s="91"/>
      <c r="AD39" s="91">
        <v>583192268.12</v>
      </c>
      <c r="AE39" s="91">
        <v>2743155658.0599999</v>
      </c>
      <c r="AF39" s="91"/>
      <c r="AG39" s="91"/>
      <c r="AH39" s="91">
        <v>-9.9997520446777344E-3</v>
      </c>
      <c r="AI39" s="91"/>
      <c r="AJ39" s="91"/>
      <c r="AK39" s="91">
        <v>11330551.43</v>
      </c>
      <c r="AL39" s="91">
        <v>4149954.1300000008</v>
      </c>
      <c r="AM39" s="91">
        <v>597324381.23000002</v>
      </c>
      <c r="AN39" s="91">
        <v>2020834.9099999666</v>
      </c>
      <c r="AO39" s="91"/>
      <c r="AP39" s="91"/>
      <c r="AQ39" s="91">
        <v>16102980.6</v>
      </c>
      <c r="AR39" s="91"/>
      <c r="AS39" s="91"/>
      <c r="AT39" s="91">
        <v>4778075867.0600004</v>
      </c>
      <c r="AU39" s="90" t="s">
        <v>344</v>
      </c>
      <c r="AV39" s="253"/>
      <c r="AW39" s="263"/>
    </row>
    <row r="40" spans="2:49" x14ac:dyDescent="0.35">
      <c r="B40" s="234"/>
      <c r="C40" s="250" t="s">
        <v>72</v>
      </c>
      <c r="D40" s="88" t="s">
        <v>313</v>
      </c>
      <c r="E40" s="89">
        <v>83.796582669957616</v>
      </c>
      <c r="F40" s="89"/>
      <c r="G40" s="89">
        <v>51</v>
      </c>
      <c r="H40" s="89">
        <v>3572</v>
      </c>
      <c r="I40" s="89"/>
      <c r="J40" s="89"/>
      <c r="K40" s="89">
        <v>0</v>
      </c>
      <c r="L40" s="89">
        <v>2509.67</v>
      </c>
      <c r="M40" s="89">
        <v>0.77</v>
      </c>
      <c r="N40" s="89"/>
      <c r="O40" s="89">
        <v>64169</v>
      </c>
      <c r="P40" s="89">
        <v>98577</v>
      </c>
      <c r="Q40" s="89">
        <v>88702</v>
      </c>
      <c r="R40" s="89">
        <v>73855</v>
      </c>
      <c r="S40" s="89">
        <v>3913</v>
      </c>
      <c r="T40" s="89"/>
      <c r="U40" s="89">
        <v>5909.49</v>
      </c>
      <c r="V40" s="89">
        <v>11433.2</v>
      </c>
      <c r="W40" s="89">
        <v>1977</v>
      </c>
      <c r="X40" s="89"/>
      <c r="Y40" s="89"/>
      <c r="Z40" s="89">
        <v>2568</v>
      </c>
      <c r="AA40" s="89">
        <v>1582</v>
      </c>
      <c r="AB40" s="89"/>
      <c r="AC40" s="89"/>
      <c r="AD40" s="89">
        <v>126744</v>
      </c>
      <c r="AE40" s="89">
        <v>514429</v>
      </c>
      <c r="AF40" s="89"/>
      <c r="AG40" s="89"/>
      <c r="AH40" s="89">
        <v>1</v>
      </c>
      <c r="AI40" s="89">
        <v>10</v>
      </c>
      <c r="AJ40" s="89"/>
      <c r="AK40" s="89">
        <v>36978</v>
      </c>
      <c r="AL40" s="89">
        <v>25337</v>
      </c>
      <c r="AM40" s="89">
        <v>150525</v>
      </c>
      <c r="AN40" s="89">
        <v>4144</v>
      </c>
      <c r="AO40" s="89"/>
      <c r="AP40" s="89"/>
      <c r="AQ40" s="89">
        <v>43</v>
      </c>
      <c r="AR40" s="89"/>
      <c r="AS40" s="89"/>
      <c r="AT40" s="89">
        <v>1217114</v>
      </c>
      <c r="AU40" s="88" t="s">
        <v>312</v>
      </c>
      <c r="AV40" s="252" t="s">
        <v>88</v>
      </c>
      <c r="AW40" s="263"/>
    </row>
    <row r="41" spans="2:49" x14ac:dyDescent="0.35">
      <c r="B41" s="234"/>
      <c r="C41" s="251"/>
      <c r="D41" s="90" t="s">
        <v>345</v>
      </c>
      <c r="E41" s="91">
        <v>40222.359681579575</v>
      </c>
      <c r="F41" s="91"/>
      <c r="G41" s="91">
        <v>76509.17</v>
      </c>
      <c r="H41" s="91">
        <v>4935296.1900000004</v>
      </c>
      <c r="I41" s="91"/>
      <c r="J41" s="91"/>
      <c r="K41" s="91">
        <v>0</v>
      </c>
      <c r="L41" s="91">
        <v>7907767.8499999996</v>
      </c>
      <c r="M41" s="91">
        <v>3830.5</v>
      </c>
      <c r="N41" s="91"/>
      <c r="O41" s="91">
        <v>87838538.950000003</v>
      </c>
      <c r="P41" s="91">
        <v>694526317.86000001</v>
      </c>
      <c r="Q41" s="91">
        <v>115223623.11</v>
      </c>
      <c r="R41" s="91">
        <v>87910728.929999948</v>
      </c>
      <c r="S41" s="91">
        <v>10396949.68</v>
      </c>
      <c r="T41" s="91"/>
      <c r="U41" s="91">
        <v>52458463.57</v>
      </c>
      <c r="V41" s="91">
        <v>61299929.950000003</v>
      </c>
      <c r="W41" s="91">
        <v>7570094.5199999996</v>
      </c>
      <c r="X41" s="91"/>
      <c r="Y41" s="91"/>
      <c r="Z41" s="91">
        <v>41569372.32</v>
      </c>
      <c r="AA41" s="91">
        <v>2953026.1</v>
      </c>
      <c r="AB41" s="91"/>
      <c r="AC41" s="91"/>
      <c r="AD41" s="91">
        <v>1306107348.97</v>
      </c>
      <c r="AE41" s="91">
        <v>4109685971.3200002</v>
      </c>
      <c r="AF41" s="91"/>
      <c r="AG41" s="91"/>
      <c r="AH41" s="91">
        <v>-1.0000228881835938E-2</v>
      </c>
      <c r="AI41" s="91">
        <v>32185.4</v>
      </c>
      <c r="AJ41" s="91"/>
      <c r="AK41" s="91">
        <v>15423832.539999999</v>
      </c>
      <c r="AL41" s="91">
        <v>13153287.02</v>
      </c>
      <c r="AM41" s="91">
        <v>1083457044.4400001</v>
      </c>
      <c r="AN41" s="91">
        <v>5747742.5799999237</v>
      </c>
      <c r="AO41" s="91"/>
      <c r="AP41" s="91"/>
      <c r="AQ41" s="91">
        <v>129149.36</v>
      </c>
      <c r="AR41" s="91"/>
      <c r="AS41" s="91"/>
      <c r="AT41" s="91">
        <v>7708447232.6700001</v>
      </c>
      <c r="AU41" s="90" t="s">
        <v>344</v>
      </c>
      <c r="AV41" s="253"/>
      <c r="AW41" s="263"/>
    </row>
    <row r="42" spans="2:49" x14ac:dyDescent="0.35">
      <c r="B42" s="234"/>
      <c r="C42" s="250" t="s">
        <v>73</v>
      </c>
      <c r="D42" s="88" t="s">
        <v>313</v>
      </c>
      <c r="E42" s="89">
        <v>365.01293565762347</v>
      </c>
      <c r="F42" s="89"/>
      <c r="G42" s="89"/>
      <c r="H42" s="89">
        <v>2411</v>
      </c>
      <c r="I42" s="89"/>
      <c r="J42" s="89"/>
      <c r="K42" s="89">
        <v>0</v>
      </c>
      <c r="L42" s="89">
        <v>13.56</v>
      </c>
      <c r="M42" s="89"/>
      <c r="N42" s="89"/>
      <c r="O42" s="89">
        <v>57229</v>
      </c>
      <c r="P42" s="89">
        <v>73628</v>
      </c>
      <c r="Q42" s="89">
        <v>96238</v>
      </c>
      <c r="R42" s="89">
        <v>66246</v>
      </c>
      <c r="S42" s="89">
        <v>5415</v>
      </c>
      <c r="T42" s="89"/>
      <c r="U42" s="89"/>
      <c r="V42" s="89"/>
      <c r="W42" s="89">
        <v>1175</v>
      </c>
      <c r="X42" s="89">
        <v>5081</v>
      </c>
      <c r="Y42" s="89"/>
      <c r="Z42" s="89">
        <v>2</v>
      </c>
      <c r="AA42" s="89">
        <v>1165</v>
      </c>
      <c r="AB42" s="89"/>
      <c r="AC42" s="89"/>
      <c r="AD42" s="89">
        <v>184950</v>
      </c>
      <c r="AE42" s="89">
        <v>913202</v>
      </c>
      <c r="AF42" s="89"/>
      <c r="AG42" s="89">
        <v>554</v>
      </c>
      <c r="AH42" s="89">
        <v>1</v>
      </c>
      <c r="AI42" s="89"/>
      <c r="AJ42" s="89"/>
      <c r="AK42" s="89">
        <v>44500</v>
      </c>
      <c r="AL42" s="89">
        <v>15762</v>
      </c>
      <c r="AM42" s="89">
        <v>134086</v>
      </c>
      <c r="AN42" s="89">
        <v>2855</v>
      </c>
      <c r="AO42" s="89"/>
      <c r="AP42" s="89"/>
      <c r="AQ42" s="89">
        <v>7608</v>
      </c>
      <c r="AR42" s="89"/>
      <c r="AS42" s="89"/>
      <c r="AT42" s="89">
        <v>1612487</v>
      </c>
      <c r="AU42" s="88" t="s">
        <v>312</v>
      </c>
      <c r="AV42" s="252" t="s">
        <v>89</v>
      </c>
      <c r="AW42" s="263"/>
    </row>
    <row r="43" spans="2:49" x14ac:dyDescent="0.35">
      <c r="B43" s="234"/>
      <c r="C43" s="251"/>
      <c r="D43" s="90" t="s">
        <v>345</v>
      </c>
      <c r="E43" s="91">
        <v>229958.14946430249</v>
      </c>
      <c r="F43" s="91"/>
      <c r="G43" s="91"/>
      <c r="H43" s="91">
        <v>3147786.31</v>
      </c>
      <c r="I43" s="91"/>
      <c r="J43" s="91"/>
      <c r="K43" s="91">
        <v>0</v>
      </c>
      <c r="L43" s="91">
        <v>75451.31</v>
      </c>
      <c r="M43" s="91"/>
      <c r="N43" s="91"/>
      <c r="O43" s="91">
        <v>83447683.609999999</v>
      </c>
      <c r="P43" s="91">
        <v>455799099.50999999</v>
      </c>
      <c r="Q43" s="91">
        <v>155459118.38999999</v>
      </c>
      <c r="R43" s="91">
        <v>89458304.120000005</v>
      </c>
      <c r="S43" s="91">
        <v>25627245.120000001</v>
      </c>
      <c r="T43" s="91"/>
      <c r="U43" s="91"/>
      <c r="V43" s="91"/>
      <c r="W43" s="91">
        <v>6905562.3099999996</v>
      </c>
      <c r="X43" s="91">
        <v>6004909.6200000001</v>
      </c>
      <c r="Y43" s="91"/>
      <c r="Z43" s="91">
        <v>19336.57</v>
      </c>
      <c r="AA43" s="91">
        <v>2346010.5499999998</v>
      </c>
      <c r="AB43" s="91"/>
      <c r="AC43" s="91"/>
      <c r="AD43" s="91">
        <v>1957596156.53</v>
      </c>
      <c r="AE43" s="91">
        <v>8285434406.5699997</v>
      </c>
      <c r="AF43" s="91"/>
      <c r="AG43" s="91">
        <v>2505483</v>
      </c>
      <c r="AH43" s="91">
        <v>1.0000228881835938E-2</v>
      </c>
      <c r="AI43" s="91"/>
      <c r="AJ43" s="91"/>
      <c r="AK43" s="91">
        <v>35785839.560000002</v>
      </c>
      <c r="AL43" s="91">
        <v>7895172.5099999979</v>
      </c>
      <c r="AM43" s="91">
        <v>1077538949.45</v>
      </c>
      <c r="AN43" s="91">
        <v>6136331.3299999237</v>
      </c>
      <c r="AO43" s="91"/>
      <c r="AP43" s="91"/>
      <c r="AQ43" s="91">
        <v>12895922.449999999</v>
      </c>
      <c r="AR43" s="91"/>
      <c r="AS43" s="91"/>
      <c r="AT43" s="91">
        <v>12214308726.969999</v>
      </c>
      <c r="AU43" s="90" t="s">
        <v>344</v>
      </c>
      <c r="AV43" s="253"/>
      <c r="AW43" s="263"/>
    </row>
    <row r="44" spans="2:49" x14ac:dyDescent="0.35">
      <c r="B44" s="234"/>
      <c r="C44" s="250" t="s">
        <v>74</v>
      </c>
      <c r="D44" s="88" t="s">
        <v>313</v>
      </c>
      <c r="E44" s="89"/>
      <c r="F44" s="89"/>
      <c r="G44" s="89"/>
      <c r="H44" s="89">
        <v>4469</v>
      </c>
      <c r="I44" s="89"/>
      <c r="J44" s="89">
        <v>108</v>
      </c>
      <c r="K44" s="89">
        <v>140</v>
      </c>
      <c r="L44" s="89">
        <v>17</v>
      </c>
      <c r="M44" s="89">
        <v>129.81</v>
      </c>
      <c r="N44" s="89"/>
      <c r="O44" s="89">
        <v>59897</v>
      </c>
      <c r="P44" s="89">
        <v>98854</v>
      </c>
      <c r="Q44" s="89">
        <v>86189</v>
      </c>
      <c r="R44" s="89">
        <v>105656</v>
      </c>
      <c r="S44" s="89">
        <v>6081</v>
      </c>
      <c r="T44" s="89"/>
      <c r="U44" s="89"/>
      <c r="V44" s="89">
        <v>362.21</v>
      </c>
      <c r="W44" s="89">
        <v>518</v>
      </c>
      <c r="X44" s="89">
        <v>1648</v>
      </c>
      <c r="Y44" s="89"/>
      <c r="Z44" s="89">
        <v>195</v>
      </c>
      <c r="AA44" s="89">
        <v>1112</v>
      </c>
      <c r="AB44" s="89"/>
      <c r="AC44" s="89"/>
      <c r="AD44" s="89">
        <v>89024</v>
      </c>
      <c r="AE44" s="89">
        <v>447569</v>
      </c>
      <c r="AF44" s="89"/>
      <c r="AG44" s="89">
        <v>1708</v>
      </c>
      <c r="AH44" s="89">
        <v>0</v>
      </c>
      <c r="AI44" s="89">
        <v>1</v>
      </c>
      <c r="AJ44" s="89"/>
      <c r="AK44" s="89">
        <v>27992</v>
      </c>
      <c r="AL44" s="89">
        <v>29917</v>
      </c>
      <c r="AM44" s="89">
        <v>112981</v>
      </c>
      <c r="AN44" s="89">
        <v>11330</v>
      </c>
      <c r="AO44" s="89"/>
      <c r="AP44" s="89"/>
      <c r="AQ44" s="89">
        <v>18472</v>
      </c>
      <c r="AR44" s="89"/>
      <c r="AS44" s="89"/>
      <c r="AT44" s="89">
        <v>1104371</v>
      </c>
      <c r="AU44" s="88" t="s">
        <v>312</v>
      </c>
      <c r="AV44" s="252" t="s">
        <v>90</v>
      </c>
      <c r="AW44" s="263"/>
    </row>
    <row r="45" spans="2:49" x14ac:dyDescent="0.35">
      <c r="B45" s="234"/>
      <c r="C45" s="251"/>
      <c r="D45" s="90" t="s">
        <v>345</v>
      </c>
      <c r="E45" s="91"/>
      <c r="F45" s="91"/>
      <c r="G45" s="91"/>
      <c r="H45" s="91">
        <v>10248612.789999999</v>
      </c>
      <c r="I45" s="91"/>
      <c r="J45" s="91">
        <v>259249.44</v>
      </c>
      <c r="K45" s="91">
        <v>266720.30000000075</v>
      </c>
      <c r="L45" s="91">
        <v>41816.33</v>
      </c>
      <c r="M45" s="91">
        <v>325555.09000000003</v>
      </c>
      <c r="N45" s="91"/>
      <c r="O45" s="91">
        <v>81258888.959999993</v>
      </c>
      <c r="P45" s="91">
        <v>620273758.14999998</v>
      </c>
      <c r="Q45" s="91">
        <v>144073759.05000001</v>
      </c>
      <c r="R45" s="91">
        <v>138884784.89999986</v>
      </c>
      <c r="S45" s="91">
        <v>20411702.800000001</v>
      </c>
      <c r="T45" s="91"/>
      <c r="U45" s="91"/>
      <c r="V45" s="91">
        <v>338060.21</v>
      </c>
      <c r="W45" s="91">
        <v>2458955.73</v>
      </c>
      <c r="X45" s="91">
        <v>6736674.4699999997</v>
      </c>
      <c r="Y45" s="91"/>
      <c r="Z45" s="91">
        <v>2055257.14</v>
      </c>
      <c r="AA45" s="91">
        <v>2344689.9300000002</v>
      </c>
      <c r="AB45" s="91"/>
      <c r="AC45" s="91"/>
      <c r="AD45" s="91">
        <v>738948676.07000005</v>
      </c>
      <c r="AE45" s="91">
        <v>3113600504.3400002</v>
      </c>
      <c r="AF45" s="91"/>
      <c r="AG45" s="91">
        <v>8127441.3899999997</v>
      </c>
      <c r="AH45" s="91">
        <v>9.9997520446777344E-3</v>
      </c>
      <c r="AI45" s="91">
        <v>2339.83</v>
      </c>
      <c r="AJ45" s="91"/>
      <c r="AK45" s="91">
        <v>25194616.91</v>
      </c>
      <c r="AL45" s="91">
        <v>15798375.889999997</v>
      </c>
      <c r="AM45" s="91">
        <v>845731935.58000004</v>
      </c>
      <c r="AN45" s="91">
        <v>32066642.589999914</v>
      </c>
      <c r="AO45" s="91"/>
      <c r="AP45" s="91"/>
      <c r="AQ45" s="91">
        <v>43286525.530000001</v>
      </c>
      <c r="AR45" s="91"/>
      <c r="AS45" s="91"/>
      <c r="AT45" s="91">
        <v>5852735543.4499998</v>
      </c>
      <c r="AU45" s="90" t="s">
        <v>344</v>
      </c>
      <c r="AV45" s="253"/>
      <c r="AW45" s="263"/>
    </row>
    <row r="46" spans="2:49" x14ac:dyDescent="0.35">
      <c r="B46" s="234"/>
      <c r="C46" s="250" t="s">
        <v>75</v>
      </c>
      <c r="D46" s="88" t="s">
        <v>313</v>
      </c>
      <c r="E46" s="89">
        <v>539.57112307925149</v>
      </c>
      <c r="F46" s="89"/>
      <c r="G46" s="89"/>
      <c r="H46" s="89">
        <v>3698</v>
      </c>
      <c r="I46" s="89"/>
      <c r="J46" s="89">
        <v>743</v>
      </c>
      <c r="K46" s="89">
        <v>141</v>
      </c>
      <c r="L46" s="89">
        <v>790.75</v>
      </c>
      <c r="M46" s="89">
        <v>1410.76</v>
      </c>
      <c r="N46" s="89"/>
      <c r="O46" s="89">
        <v>61002</v>
      </c>
      <c r="P46" s="89">
        <v>85094</v>
      </c>
      <c r="Q46" s="89">
        <v>65538</v>
      </c>
      <c r="R46" s="89">
        <v>101650</v>
      </c>
      <c r="S46" s="89">
        <v>9864</v>
      </c>
      <c r="T46" s="89"/>
      <c r="U46" s="89">
        <v>30.29</v>
      </c>
      <c r="V46" s="89">
        <v>1701.04</v>
      </c>
      <c r="W46" s="89">
        <v>1964</v>
      </c>
      <c r="X46" s="89">
        <v>7967</v>
      </c>
      <c r="Y46" s="89"/>
      <c r="Z46" s="89">
        <v>1713</v>
      </c>
      <c r="AA46" s="89">
        <v>1121</v>
      </c>
      <c r="AB46" s="89"/>
      <c r="AC46" s="89">
        <v>98</v>
      </c>
      <c r="AD46" s="89">
        <v>59718</v>
      </c>
      <c r="AE46" s="89">
        <v>181665</v>
      </c>
      <c r="AF46" s="89"/>
      <c r="AG46" s="89">
        <v>1032</v>
      </c>
      <c r="AH46" s="89"/>
      <c r="AI46" s="89">
        <v>405</v>
      </c>
      <c r="AJ46" s="89"/>
      <c r="AK46" s="89">
        <v>39430</v>
      </c>
      <c r="AL46" s="89">
        <v>28657</v>
      </c>
      <c r="AM46" s="89">
        <v>189517</v>
      </c>
      <c r="AN46" s="89">
        <v>11516</v>
      </c>
      <c r="AO46" s="89"/>
      <c r="AP46" s="89"/>
      <c r="AQ46" s="89">
        <v>10212</v>
      </c>
      <c r="AR46" s="89"/>
      <c r="AS46" s="89"/>
      <c r="AT46" s="89">
        <v>867216</v>
      </c>
      <c r="AU46" s="88" t="s">
        <v>312</v>
      </c>
      <c r="AV46" s="252" t="s">
        <v>91</v>
      </c>
      <c r="AW46" s="263"/>
    </row>
    <row r="47" spans="2:49" x14ac:dyDescent="0.35">
      <c r="B47" s="234"/>
      <c r="C47" s="251"/>
      <c r="D47" s="90" t="s">
        <v>345</v>
      </c>
      <c r="E47" s="91">
        <v>134892.78076981255</v>
      </c>
      <c r="F47" s="91"/>
      <c r="G47" s="91"/>
      <c r="H47" s="91">
        <v>10701354.76</v>
      </c>
      <c r="I47" s="91"/>
      <c r="J47" s="91">
        <v>1722910.09</v>
      </c>
      <c r="K47" s="91">
        <v>293431.41000000015</v>
      </c>
      <c r="L47" s="91">
        <v>2700208.73</v>
      </c>
      <c r="M47" s="91">
        <v>3191320.75</v>
      </c>
      <c r="N47" s="91"/>
      <c r="O47" s="91">
        <v>74049837.079999998</v>
      </c>
      <c r="P47" s="91">
        <v>347360246.02999997</v>
      </c>
      <c r="Q47" s="91">
        <v>150199200.5</v>
      </c>
      <c r="R47" s="91">
        <v>114227525.28000009</v>
      </c>
      <c r="S47" s="91">
        <v>19190930.690000001</v>
      </c>
      <c r="T47" s="91"/>
      <c r="U47" s="91">
        <v>161343.35999999999</v>
      </c>
      <c r="V47" s="91">
        <v>7007115.2800000003</v>
      </c>
      <c r="W47" s="91">
        <v>5184213.74</v>
      </c>
      <c r="X47" s="91">
        <v>9647284.3100000005</v>
      </c>
      <c r="Y47" s="91"/>
      <c r="Z47" s="91">
        <v>13665416.640000001</v>
      </c>
      <c r="AA47" s="91">
        <v>2225729.21</v>
      </c>
      <c r="AB47" s="91"/>
      <c r="AC47" s="91">
        <v>269859.65000000002</v>
      </c>
      <c r="AD47" s="91">
        <v>370437466.38999999</v>
      </c>
      <c r="AE47" s="91">
        <v>1366182410.0599999</v>
      </c>
      <c r="AF47" s="91"/>
      <c r="AG47" s="91">
        <v>2620656.71</v>
      </c>
      <c r="AH47" s="91">
        <v>0</v>
      </c>
      <c r="AI47" s="91">
        <v>158390.23000000001</v>
      </c>
      <c r="AJ47" s="91"/>
      <c r="AK47" s="91">
        <v>40096651.270000003</v>
      </c>
      <c r="AL47" s="91">
        <v>20316660.699999996</v>
      </c>
      <c r="AM47" s="91">
        <v>1108805251.6800001</v>
      </c>
      <c r="AN47" s="91">
        <v>27999411.409999847</v>
      </c>
      <c r="AO47" s="91"/>
      <c r="AP47" s="91"/>
      <c r="AQ47" s="91">
        <v>19121353.41</v>
      </c>
      <c r="AR47" s="91"/>
      <c r="AS47" s="91"/>
      <c r="AT47" s="91">
        <v>3717671072.1599998</v>
      </c>
      <c r="AU47" s="90" t="s">
        <v>344</v>
      </c>
      <c r="AV47" s="253"/>
      <c r="AW47" s="263"/>
    </row>
    <row r="48" spans="2:49" x14ac:dyDescent="0.35">
      <c r="B48" s="234"/>
      <c r="C48" s="250" t="s">
        <v>76</v>
      </c>
      <c r="D48" s="88" t="s">
        <v>313</v>
      </c>
      <c r="E48" s="89">
        <v>1558.7545776151014</v>
      </c>
      <c r="F48" s="89"/>
      <c r="G48" s="89"/>
      <c r="H48" s="89">
        <v>1137</v>
      </c>
      <c r="I48" s="89"/>
      <c r="J48" s="89">
        <v>201</v>
      </c>
      <c r="K48" s="89">
        <v>32</v>
      </c>
      <c r="L48" s="89">
        <v>1491.88</v>
      </c>
      <c r="M48" s="89">
        <v>106.71</v>
      </c>
      <c r="N48" s="89">
        <v>13.57</v>
      </c>
      <c r="O48" s="89">
        <v>106057</v>
      </c>
      <c r="P48" s="89">
        <v>150213</v>
      </c>
      <c r="Q48" s="89">
        <v>78251</v>
      </c>
      <c r="R48" s="89">
        <v>91929</v>
      </c>
      <c r="S48" s="89">
        <v>4910</v>
      </c>
      <c r="T48" s="89"/>
      <c r="U48" s="89">
        <v>21.57</v>
      </c>
      <c r="V48" s="89"/>
      <c r="W48" s="89">
        <v>3480</v>
      </c>
      <c r="X48" s="89">
        <v>1902</v>
      </c>
      <c r="Y48" s="89"/>
      <c r="Z48" s="89"/>
      <c r="AA48" s="89">
        <v>3790</v>
      </c>
      <c r="AB48" s="89"/>
      <c r="AC48" s="89"/>
      <c r="AD48" s="89">
        <v>141121</v>
      </c>
      <c r="AE48" s="89">
        <v>843041</v>
      </c>
      <c r="AF48" s="89"/>
      <c r="AG48" s="89">
        <v>2064</v>
      </c>
      <c r="AH48" s="89">
        <v>132</v>
      </c>
      <c r="AI48" s="89">
        <v>477</v>
      </c>
      <c r="AJ48" s="89"/>
      <c r="AK48" s="89">
        <v>93019</v>
      </c>
      <c r="AL48" s="89">
        <v>36235</v>
      </c>
      <c r="AM48" s="89">
        <v>178640</v>
      </c>
      <c r="AN48" s="89">
        <v>21839</v>
      </c>
      <c r="AO48" s="89"/>
      <c r="AP48" s="89"/>
      <c r="AQ48" s="89">
        <v>3963</v>
      </c>
      <c r="AR48" s="89"/>
      <c r="AS48" s="89"/>
      <c r="AT48" s="89">
        <v>1765626</v>
      </c>
      <c r="AU48" s="88" t="s">
        <v>312</v>
      </c>
      <c r="AV48" s="252" t="s">
        <v>92</v>
      </c>
      <c r="AW48" s="263"/>
    </row>
    <row r="49" spans="2:49" x14ac:dyDescent="0.35">
      <c r="B49" s="234"/>
      <c r="C49" s="251"/>
      <c r="D49" s="90" t="s">
        <v>345</v>
      </c>
      <c r="E49" s="91">
        <v>389688.64440377709</v>
      </c>
      <c r="F49" s="91"/>
      <c r="G49" s="91"/>
      <c r="H49" s="91">
        <v>1749826.4</v>
      </c>
      <c r="I49" s="91"/>
      <c r="J49" s="91">
        <v>334312.03000000003</v>
      </c>
      <c r="K49" s="91">
        <v>66244.40000000014</v>
      </c>
      <c r="L49" s="91">
        <v>4247799.8</v>
      </c>
      <c r="M49" s="91">
        <v>492652.01</v>
      </c>
      <c r="N49" s="91">
        <v>67191.759999999995</v>
      </c>
      <c r="O49" s="91">
        <v>148725112.72999999</v>
      </c>
      <c r="P49" s="91">
        <v>295514945.88</v>
      </c>
      <c r="Q49" s="91">
        <v>108564910.83</v>
      </c>
      <c r="R49" s="91">
        <v>105618152.58999991</v>
      </c>
      <c r="S49" s="91">
        <v>3605816.88</v>
      </c>
      <c r="T49" s="91"/>
      <c r="U49" s="91">
        <v>67365.97</v>
      </c>
      <c r="V49" s="91"/>
      <c r="W49" s="91">
        <v>1740037.11</v>
      </c>
      <c r="X49" s="91">
        <v>4324334.97</v>
      </c>
      <c r="Y49" s="91"/>
      <c r="Z49" s="91"/>
      <c r="AA49" s="91">
        <v>23228246.18</v>
      </c>
      <c r="AB49" s="91"/>
      <c r="AC49" s="91"/>
      <c r="AD49" s="91">
        <v>436123207.07999998</v>
      </c>
      <c r="AE49" s="91">
        <v>14001038185.370001</v>
      </c>
      <c r="AF49" s="91"/>
      <c r="AG49" s="91">
        <v>2360593.5299999998</v>
      </c>
      <c r="AH49" s="91">
        <v>285812.93999862671</v>
      </c>
      <c r="AI49" s="91">
        <v>572081.57999999996</v>
      </c>
      <c r="AJ49" s="91"/>
      <c r="AK49" s="91">
        <v>72589448.109999999</v>
      </c>
      <c r="AL49" s="91">
        <v>20637903.609999999</v>
      </c>
      <c r="AM49" s="91">
        <v>516299151.18000001</v>
      </c>
      <c r="AN49" s="91">
        <v>49172229.98999995</v>
      </c>
      <c r="AO49" s="91"/>
      <c r="AP49" s="91"/>
      <c r="AQ49" s="91">
        <v>8239418.4800000004</v>
      </c>
      <c r="AR49" s="91"/>
      <c r="AS49" s="91"/>
      <c r="AT49" s="91">
        <v>15806054670.07</v>
      </c>
      <c r="AU49" s="90" t="s">
        <v>344</v>
      </c>
      <c r="AV49" s="253"/>
      <c r="AW49" s="263"/>
    </row>
    <row r="50" spans="2:49" x14ac:dyDescent="0.35">
      <c r="B50" s="234"/>
      <c r="C50" s="250" t="s">
        <v>77</v>
      </c>
      <c r="D50" s="88" t="s">
        <v>313</v>
      </c>
      <c r="E50" s="89">
        <v>294.2096589030773</v>
      </c>
      <c r="F50" s="89"/>
      <c r="G50" s="89"/>
      <c r="H50" s="89">
        <v>3112</v>
      </c>
      <c r="I50" s="89"/>
      <c r="J50" s="89">
        <v>4254</v>
      </c>
      <c r="K50" s="89">
        <v>124</v>
      </c>
      <c r="L50" s="89">
        <v>6592.98</v>
      </c>
      <c r="M50" s="89">
        <v>33.770000000000003</v>
      </c>
      <c r="N50" s="89"/>
      <c r="O50" s="89">
        <v>69925</v>
      </c>
      <c r="P50" s="89">
        <v>59375</v>
      </c>
      <c r="Q50" s="89">
        <v>127327</v>
      </c>
      <c r="R50" s="89">
        <v>105160</v>
      </c>
      <c r="S50" s="89">
        <v>3395</v>
      </c>
      <c r="T50" s="89"/>
      <c r="U50" s="89"/>
      <c r="V50" s="89"/>
      <c r="W50" s="89">
        <v>1</v>
      </c>
      <c r="X50" s="89">
        <v>170</v>
      </c>
      <c r="Y50" s="89"/>
      <c r="Z50" s="89">
        <v>44</v>
      </c>
      <c r="AA50" s="89">
        <v>3656</v>
      </c>
      <c r="AB50" s="89"/>
      <c r="AC50" s="89"/>
      <c r="AD50" s="89">
        <v>59393</v>
      </c>
      <c r="AE50" s="89">
        <v>616726</v>
      </c>
      <c r="AF50" s="89"/>
      <c r="AG50" s="89">
        <v>5228</v>
      </c>
      <c r="AH50" s="89">
        <v>0</v>
      </c>
      <c r="AI50" s="89">
        <v>758</v>
      </c>
      <c r="AJ50" s="89"/>
      <c r="AK50" s="89">
        <v>67761</v>
      </c>
      <c r="AL50" s="89">
        <v>49169</v>
      </c>
      <c r="AM50" s="89">
        <v>124745</v>
      </c>
      <c r="AN50" s="89">
        <v>3330</v>
      </c>
      <c r="AO50" s="89"/>
      <c r="AP50" s="89"/>
      <c r="AQ50" s="89"/>
      <c r="AR50" s="89"/>
      <c r="AS50" s="89"/>
      <c r="AT50" s="89">
        <v>1310573</v>
      </c>
      <c r="AU50" s="88" t="s">
        <v>312</v>
      </c>
      <c r="AV50" s="252" t="s">
        <v>93</v>
      </c>
      <c r="AW50" s="263"/>
    </row>
    <row r="51" spans="2:49" x14ac:dyDescent="0.35">
      <c r="B51" s="234"/>
      <c r="C51" s="251"/>
      <c r="D51" s="90" t="s">
        <v>345</v>
      </c>
      <c r="E51" s="91">
        <v>3137823.3033625013</v>
      </c>
      <c r="F51" s="91"/>
      <c r="G51" s="91"/>
      <c r="H51" s="91">
        <v>8639459.4100000001</v>
      </c>
      <c r="I51" s="91"/>
      <c r="J51" s="91">
        <v>24927518.18</v>
      </c>
      <c r="K51" s="91">
        <v>173260.54999999702</v>
      </c>
      <c r="L51" s="91">
        <v>22511214.030000001</v>
      </c>
      <c r="M51" s="91">
        <v>65853.34</v>
      </c>
      <c r="N51" s="91"/>
      <c r="O51" s="91">
        <v>83030437.450000003</v>
      </c>
      <c r="P51" s="91">
        <v>307976253.12</v>
      </c>
      <c r="Q51" s="91">
        <v>174504822.47999999</v>
      </c>
      <c r="R51" s="91">
        <v>149677888.11000001</v>
      </c>
      <c r="S51" s="91">
        <v>10746921.99</v>
      </c>
      <c r="T51" s="91"/>
      <c r="U51" s="91"/>
      <c r="V51" s="91"/>
      <c r="W51" s="91">
        <v>513.84</v>
      </c>
      <c r="X51" s="91">
        <v>479732.28</v>
      </c>
      <c r="Y51" s="91"/>
      <c r="Z51" s="91">
        <v>559216.85</v>
      </c>
      <c r="AA51" s="91">
        <v>11233745.949999999</v>
      </c>
      <c r="AB51" s="91"/>
      <c r="AC51" s="91"/>
      <c r="AD51" s="91">
        <v>704680583.45000005</v>
      </c>
      <c r="AE51" s="91">
        <v>5531562232.21</v>
      </c>
      <c r="AF51" s="91"/>
      <c r="AG51" s="91">
        <v>17982043.09</v>
      </c>
      <c r="AH51" s="91">
        <v>-1.0000228881835938E-2</v>
      </c>
      <c r="AI51" s="91">
        <v>1403199.03</v>
      </c>
      <c r="AJ51" s="91"/>
      <c r="AK51" s="91">
        <v>60060442.240000002</v>
      </c>
      <c r="AL51" s="91">
        <v>24584255.190000005</v>
      </c>
      <c r="AM51" s="91">
        <v>725088830.82000005</v>
      </c>
      <c r="AN51" s="91">
        <v>4766184.3199999332</v>
      </c>
      <c r="AO51" s="91"/>
      <c r="AP51" s="91"/>
      <c r="AQ51" s="91"/>
      <c r="AR51" s="91"/>
      <c r="AS51" s="91"/>
      <c r="AT51" s="91">
        <v>7867792431.21</v>
      </c>
      <c r="AU51" s="90" t="s">
        <v>344</v>
      </c>
      <c r="AV51" s="253"/>
      <c r="AW51" s="263"/>
    </row>
    <row r="52" spans="2:49" x14ac:dyDescent="0.35">
      <c r="B52" s="234"/>
      <c r="C52" s="250" t="s">
        <v>78</v>
      </c>
      <c r="D52" s="88" t="s">
        <v>313</v>
      </c>
      <c r="E52" s="89">
        <v>274.24726453766266</v>
      </c>
      <c r="F52" s="89"/>
      <c r="G52" s="89"/>
      <c r="H52" s="89">
        <v>4721</v>
      </c>
      <c r="I52" s="89">
        <v>52</v>
      </c>
      <c r="J52" s="89">
        <v>401</v>
      </c>
      <c r="K52" s="89">
        <v>28</v>
      </c>
      <c r="L52" s="89">
        <v>686.57</v>
      </c>
      <c r="M52" s="89">
        <v>1398.27</v>
      </c>
      <c r="N52" s="89">
        <v>212.85</v>
      </c>
      <c r="O52" s="89">
        <v>65699</v>
      </c>
      <c r="P52" s="89">
        <v>69334</v>
      </c>
      <c r="Q52" s="89">
        <v>109263</v>
      </c>
      <c r="R52" s="89">
        <v>100164</v>
      </c>
      <c r="S52" s="89">
        <v>5393</v>
      </c>
      <c r="T52" s="89"/>
      <c r="U52" s="89">
        <v>66.78</v>
      </c>
      <c r="V52" s="89"/>
      <c r="W52" s="89">
        <v>5475</v>
      </c>
      <c r="X52" s="89">
        <v>790</v>
      </c>
      <c r="Y52" s="89"/>
      <c r="Z52" s="89">
        <v>3</v>
      </c>
      <c r="AA52" s="89">
        <v>4610</v>
      </c>
      <c r="AB52" s="89"/>
      <c r="AC52" s="89"/>
      <c r="AD52" s="89">
        <v>122208</v>
      </c>
      <c r="AE52" s="89">
        <v>805767</v>
      </c>
      <c r="AF52" s="89"/>
      <c r="AG52" s="89">
        <v>3646</v>
      </c>
      <c r="AH52" s="89">
        <v>0</v>
      </c>
      <c r="AI52" s="89">
        <v>1264</v>
      </c>
      <c r="AJ52" s="89"/>
      <c r="AK52" s="89">
        <v>30516</v>
      </c>
      <c r="AL52" s="89">
        <v>8548</v>
      </c>
      <c r="AM52" s="89">
        <v>158077</v>
      </c>
      <c r="AN52" s="89">
        <v>23337</v>
      </c>
      <c r="AO52" s="89"/>
      <c r="AP52" s="89"/>
      <c r="AQ52" s="89">
        <v>17042</v>
      </c>
      <c r="AR52" s="89"/>
      <c r="AS52" s="89"/>
      <c r="AT52" s="89">
        <v>1538977</v>
      </c>
      <c r="AU52" s="88" t="s">
        <v>312</v>
      </c>
      <c r="AV52" s="252" t="s">
        <v>94</v>
      </c>
      <c r="AW52" s="263"/>
    </row>
    <row r="53" spans="2:49" x14ac:dyDescent="0.35">
      <c r="B53" s="234"/>
      <c r="C53" s="251"/>
      <c r="D53" s="90" t="s">
        <v>345</v>
      </c>
      <c r="E53" s="91">
        <v>736353.90528362477</v>
      </c>
      <c r="F53" s="91"/>
      <c r="G53" s="91"/>
      <c r="H53" s="91">
        <v>4337602.67</v>
      </c>
      <c r="I53" s="91">
        <v>98813.02</v>
      </c>
      <c r="J53" s="91">
        <v>912308.85</v>
      </c>
      <c r="K53" s="91">
        <v>53271.850000000559</v>
      </c>
      <c r="L53" s="91">
        <v>2793049.96</v>
      </c>
      <c r="M53" s="91">
        <v>5898757.4900000002</v>
      </c>
      <c r="N53" s="91">
        <v>425694.9</v>
      </c>
      <c r="O53" s="91">
        <v>73096788.599999994</v>
      </c>
      <c r="P53" s="91">
        <v>303936379.79000002</v>
      </c>
      <c r="Q53" s="91">
        <v>153502422.72</v>
      </c>
      <c r="R53" s="91">
        <v>107754916.38999999</v>
      </c>
      <c r="S53" s="91">
        <v>20237467.940000001</v>
      </c>
      <c r="T53" s="91"/>
      <c r="U53" s="91">
        <v>344799.14</v>
      </c>
      <c r="V53" s="91"/>
      <c r="W53" s="91">
        <v>50309750.119999997</v>
      </c>
      <c r="X53" s="91">
        <v>1024328.11</v>
      </c>
      <c r="Y53" s="91"/>
      <c r="Z53" s="91">
        <v>11585.43</v>
      </c>
      <c r="AA53" s="91">
        <v>8859260.3900000006</v>
      </c>
      <c r="AB53" s="91"/>
      <c r="AC53" s="91"/>
      <c r="AD53" s="91">
        <v>996306470.54999995</v>
      </c>
      <c r="AE53" s="91">
        <v>4898459856.1300001</v>
      </c>
      <c r="AF53" s="91"/>
      <c r="AG53" s="91">
        <v>7709755.1399999997</v>
      </c>
      <c r="AH53" s="91">
        <v>0</v>
      </c>
      <c r="AI53" s="91">
        <v>5056963</v>
      </c>
      <c r="AJ53" s="91"/>
      <c r="AK53" s="91">
        <v>20337718.449999999</v>
      </c>
      <c r="AL53" s="91">
        <v>4127214.5100000016</v>
      </c>
      <c r="AM53" s="91">
        <v>845192569.35000002</v>
      </c>
      <c r="AN53" s="91">
        <v>54321164.480000019</v>
      </c>
      <c r="AO53" s="91"/>
      <c r="AP53" s="91"/>
      <c r="AQ53" s="91">
        <v>152310391.38</v>
      </c>
      <c r="AR53" s="91"/>
      <c r="AS53" s="91"/>
      <c r="AT53" s="91">
        <v>7718155654.2600002</v>
      </c>
      <c r="AU53" s="90" t="s">
        <v>344</v>
      </c>
      <c r="AV53" s="253"/>
      <c r="AW53" s="263"/>
    </row>
    <row r="54" spans="2:49" x14ac:dyDescent="0.35">
      <c r="B54" s="234"/>
      <c r="C54" s="250" t="s">
        <v>79</v>
      </c>
      <c r="D54" s="88" t="s">
        <v>313</v>
      </c>
      <c r="E54" s="89">
        <v>18.54814814814813</v>
      </c>
      <c r="F54" s="89"/>
      <c r="G54" s="89"/>
      <c r="H54" s="89">
        <v>4799</v>
      </c>
      <c r="I54" s="89">
        <v>300</v>
      </c>
      <c r="J54" s="89">
        <v>4755</v>
      </c>
      <c r="K54" s="89">
        <v>0</v>
      </c>
      <c r="L54" s="89">
        <v>1775.66</v>
      </c>
      <c r="M54" s="89">
        <v>642.88</v>
      </c>
      <c r="N54" s="89">
        <v>826.95</v>
      </c>
      <c r="O54" s="89">
        <v>76493</v>
      </c>
      <c r="P54" s="89">
        <v>123011</v>
      </c>
      <c r="Q54" s="89">
        <v>111743</v>
      </c>
      <c r="R54" s="89">
        <v>98149</v>
      </c>
      <c r="S54" s="89">
        <v>6630</v>
      </c>
      <c r="T54" s="89"/>
      <c r="U54" s="89">
        <v>277.61</v>
      </c>
      <c r="V54" s="89">
        <v>274.79000000000002</v>
      </c>
      <c r="W54" s="89">
        <v>5654</v>
      </c>
      <c r="X54" s="89">
        <v>2138</v>
      </c>
      <c r="Y54" s="89">
        <v>520</v>
      </c>
      <c r="Z54" s="89">
        <v>436</v>
      </c>
      <c r="AA54" s="89">
        <v>7463</v>
      </c>
      <c r="AB54" s="89"/>
      <c r="AC54" s="89"/>
      <c r="AD54" s="89">
        <v>84792</v>
      </c>
      <c r="AE54" s="89">
        <v>1014152</v>
      </c>
      <c r="AF54" s="89"/>
      <c r="AG54" s="89">
        <v>936</v>
      </c>
      <c r="AH54" s="89">
        <v>35</v>
      </c>
      <c r="AI54" s="89">
        <v>339</v>
      </c>
      <c r="AJ54" s="89">
        <v>145</v>
      </c>
      <c r="AK54" s="89">
        <v>4427</v>
      </c>
      <c r="AL54" s="89">
        <v>2172</v>
      </c>
      <c r="AM54" s="89">
        <v>180325</v>
      </c>
      <c r="AN54" s="89">
        <v>11255</v>
      </c>
      <c r="AO54" s="89"/>
      <c r="AP54" s="89">
        <v>275</v>
      </c>
      <c r="AQ54" s="89">
        <v>7670</v>
      </c>
      <c r="AR54" s="89">
        <v>275</v>
      </c>
      <c r="AS54" s="89">
        <v>68</v>
      </c>
      <c r="AT54" s="89">
        <v>1752774</v>
      </c>
      <c r="AU54" s="88" t="s">
        <v>312</v>
      </c>
      <c r="AV54" s="252" t="s">
        <v>95</v>
      </c>
      <c r="AW54" s="263"/>
    </row>
    <row r="55" spans="2:49" x14ac:dyDescent="0.35">
      <c r="B55" s="234"/>
      <c r="C55" s="251"/>
      <c r="D55" s="90" t="s">
        <v>345</v>
      </c>
      <c r="E55" s="91">
        <v>280962.97157745349</v>
      </c>
      <c r="F55" s="91"/>
      <c r="G55" s="91"/>
      <c r="H55" s="91">
        <v>12285746.82</v>
      </c>
      <c r="I55" s="91">
        <v>575736.43999999994</v>
      </c>
      <c r="J55" s="91">
        <v>33721074.43</v>
      </c>
      <c r="K55" s="91">
        <v>-9.9999979138374329E-3</v>
      </c>
      <c r="L55" s="91">
        <v>7153883.9900000002</v>
      </c>
      <c r="M55" s="91">
        <v>1800830.41</v>
      </c>
      <c r="N55" s="91">
        <v>2982313.22</v>
      </c>
      <c r="O55" s="91">
        <v>77281731.109999999</v>
      </c>
      <c r="P55" s="91">
        <v>687224453.07000005</v>
      </c>
      <c r="Q55" s="91">
        <v>191140225.99000001</v>
      </c>
      <c r="R55" s="91">
        <v>93786639.899999976</v>
      </c>
      <c r="S55" s="91">
        <v>19097687.5</v>
      </c>
      <c r="T55" s="91"/>
      <c r="U55" s="91">
        <v>1030085.35</v>
      </c>
      <c r="V55" s="91">
        <v>326089.98</v>
      </c>
      <c r="W55" s="91">
        <v>14814290.07</v>
      </c>
      <c r="X55" s="91">
        <v>8785393.0700000003</v>
      </c>
      <c r="Y55" s="91">
        <v>4298634.6400000006</v>
      </c>
      <c r="Z55" s="91">
        <v>1352152.73</v>
      </c>
      <c r="AA55" s="91">
        <v>26295212.449999999</v>
      </c>
      <c r="AB55" s="91"/>
      <c r="AC55" s="91"/>
      <c r="AD55" s="91">
        <v>827191197.80999994</v>
      </c>
      <c r="AE55" s="91">
        <v>5599891634.0799999</v>
      </c>
      <c r="AF55" s="91"/>
      <c r="AG55" s="91">
        <v>1641087.81</v>
      </c>
      <c r="AH55" s="91">
        <v>556074.44000053406</v>
      </c>
      <c r="AI55" s="91">
        <v>1083808.57</v>
      </c>
      <c r="AJ55" s="91">
        <v>450206.87</v>
      </c>
      <c r="AK55" s="91">
        <v>9650844.6999999993</v>
      </c>
      <c r="AL55" s="91">
        <v>5000971.4800000004</v>
      </c>
      <c r="AM55" s="91">
        <v>1207531770.9400001</v>
      </c>
      <c r="AN55" s="91">
        <v>27971952.839999914</v>
      </c>
      <c r="AO55" s="91"/>
      <c r="AP55" s="91">
        <v>888503.61</v>
      </c>
      <c r="AQ55" s="91">
        <v>18725105.120000001</v>
      </c>
      <c r="AR55" s="91">
        <v>543635.97</v>
      </c>
      <c r="AS55" s="91">
        <v>361011.83999999985</v>
      </c>
      <c r="AT55" s="91">
        <v>8885720950.2199993</v>
      </c>
      <c r="AU55" s="90" t="s">
        <v>344</v>
      </c>
      <c r="AV55" s="253"/>
      <c r="AW55" s="263"/>
    </row>
    <row r="56" spans="2:49" x14ac:dyDescent="0.35">
      <c r="B56" s="234"/>
      <c r="C56" s="250" t="s">
        <v>80</v>
      </c>
      <c r="D56" s="88" t="s">
        <v>313</v>
      </c>
      <c r="E56" s="89">
        <v>123.14679255048655</v>
      </c>
      <c r="F56" s="89"/>
      <c r="G56" s="89"/>
      <c r="H56" s="89">
        <v>3021</v>
      </c>
      <c r="I56" s="89">
        <v>14556</v>
      </c>
      <c r="J56" s="89">
        <v>3500</v>
      </c>
      <c r="K56" s="89">
        <v>38</v>
      </c>
      <c r="L56" s="89">
        <v>5593.64</v>
      </c>
      <c r="M56" s="89">
        <v>1712.96</v>
      </c>
      <c r="N56" s="89">
        <v>2680.4</v>
      </c>
      <c r="O56" s="89">
        <v>76294</v>
      </c>
      <c r="P56" s="89">
        <v>123987</v>
      </c>
      <c r="Q56" s="89">
        <v>112397</v>
      </c>
      <c r="R56" s="89">
        <v>82803</v>
      </c>
      <c r="S56" s="89">
        <v>17616</v>
      </c>
      <c r="T56" s="89"/>
      <c r="U56" s="89">
        <v>1971.31</v>
      </c>
      <c r="V56" s="89">
        <v>1231.47</v>
      </c>
      <c r="W56" s="89">
        <v>3130</v>
      </c>
      <c r="X56" s="89">
        <v>3001</v>
      </c>
      <c r="Y56" s="89">
        <v>352</v>
      </c>
      <c r="Z56" s="89">
        <v>2984</v>
      </c>
      <c r="AA56" s="89">
        <v>12872</v>
      </c>
      <c r="AB56" s="89"/>
      <c r="AC56" s="89">
        <v>72</v>
      </c>
      <c r="AD56" s="89">
        <v>103060</v>
      </c>
      <c r="AE56" s="89">
        <v>1065204</v>
      </c>
      <c r="AF56" s="89"/>
      <c r="AG56" s="89">
        <v>8365</v>
      </c>
      <c r="AH56" s="89">
        <v>0</v>
      </c>
      <c r="AI56" s="89">
        <v>611</v>
      </c>
      <c r="AJ56" s="89"/>
      <c r="AK56" s="89">
        <v>4476</v>
      </c>
      <c r="AL56" s="89">
        <v>5513</v>
      </c>
      <c r="AM56" s="89">
        <v>170348</v>
      </c>
      <c r="AN56" s="89">
        <v>7356</v>
      </c>
      <c r="AO56" s="89">
        <v>493</v>
      </c>
      <c r="AP56" s="89">
        <v>1108</v>
      </c>
      <c r="AQ56" s="89">
        <v>3553</v>
      </c>
      <c r="AR56" s="89"/>
      <c r="AS56" s="89"/>
      <c r="AT56" s="89">
        <v>1840021</v>
      </c>
      <c r="AU56" s="88" t="s">
        <v>312</v>
      </c>
      <c r="AV56" s="252" t="s">
        <v>96</v>
      </c>
      <c r="AW56" s="263"/>
    </row>
    <row r="57" spans="2:49" x14ac:dyDescent="0.35">
      <c r="B57" s="234"/>
      <c r="C57" s="251"/>
      <c r="D57" s="90" t="s">
        <v>345</v>
      </c>
      <c r="E57" s="91">
        <v>407923.75032348593</v>
      </c>
      <c r="F57" s="91"/>
      <c r="G57" s="91"/>
      <c r="H57" s="91">
        <v>16237204.02</v>
      </c>
      <c r="I57" s="91">
        <v>71818078.959999993</v>
      </c>
      <c r="J57" s="91">
        <v>9166836.6799999997</v>
      </c>
      <c r="K57" s="91">
        <v>62438.310000002384</v>
      </c>
      <c r="L57" s="91">
        <v>19261221.309999999</v>
      </c>
      <c r="M57" s="91">
        <v>6746467.8300000001</v>
      </c>
      <c r="N57" s="91">
        <v>9274317.8200000003</v>
      </c>
      <c r="O57" s="91">
        <v>94201224.730000004</v>
      </c>
      <c r="P57" s="91">
        <v>602065433.16999996</v>
      </c>
      <c r="Q57" s="91">
        <v>185849133.19999999</v>
      </c>
      <c r="R57" s="91">
        <v>94399420.0200001</v>
      </c>
      <c r="S57" s="91">
        <v>99401543.040000007</v>
      </c>
      <c r="T57" s="91"/>
      <c r="U57" s="91">
        <v>7240494.3600000003</v>
      </c>
      <c r="V57" s="91">
        <v>3955064.49</v>
      </c>
      <c r="W57" s="91">
        <v>4843539.9800000004</v>
      </c>
      <c r="X57" s="91">
        <v>7548779.6900000004</v>
      </c>
      <c r="Y57" s="91">
        <v>2358882.2699999977</v>
      </c>
      <c r="Z57" s="91">
        <v>35865456.18</v>
      </c>
      <c r="AA57" s="91">
        <v>57809077.039999999</v>
      </c>
      <c r="AB57" s="91"/>
      <c r="AC57" s="91">
        <v>204713.61</v>
      </c>
      <c r="AD57" s="91">
        <v>1042424360.58</v>
      </c>
      <c r="AE57" s="91">
        <v>4946226060.4700003</v>
      </c>
      <c r="AF57" s="91"/>
      <c r="AG57" s="91">
        <v>28689694.309999999</v>
      </c>
      <c r="AH57" s="91">
        <v>0</v>
      </c>
      <c r="AI57" s="91">
        <v>1630218.43</v>
      </c>
      <c r="AJ57" s="91"/>
      <c r="AK57" s="91">
        <v>7743241.3700000001</v>
      </c>
      <c r="AL57" s="91">
        <v>5037505.63</v>
      </c>
      <c r="AM57" s="91">
        <v>1146785767.51</v>
      </c>
      <c r="AN57" s="91">
        <v>18652193.029999971</v>
      </c>
      <c r="AO57" s="91">
        <v>1650167.02</v>
      </c>
      <c r="AP57" s="91">
        <v>2860699.99</v>
      </c>
      <c r="AQ57" s="91">
        <v>8509115.0800000001</v>
      </c>
      <c r="AR57" s="91"/>
      <c r="AS57" s="91"/>
      <c r="AT57" s="91">
        <v>8538926273.8800001</v>
      </c>
      <c r="AU57" s="90" t="s">
        <v>344</v>
      </c>
      <c r="AV57" s="253"/>
      <c r="AW57" s="263"/>
    </row>
    <row r="58" spans="2:49" x14ac:dyDescent="0.35">
      <c r="B58" s="234"/>
      <c r="C58" s="250" t="s">
        <v>81</v>
      </c>
      <c r="D58" s="88" t="s">
        <v>313</v>
      </c>
      <c r="E58" s="89"/>
      <c r="F58" s="89"/>
      <c r="G58" s="89"/>
      <c r="H58" s="89">
        <v>50850</v>
      </c>
      <c r="I58" s="89"/>
      <c r="J58" s="89">
        <v>64977</v>
      </c>
      <c r="K58" s="89">
        <v>4927</v>
      </c>
      <c r="L58" s="89">
        <v>24461.35</v>
      </c>
      <c r="M58" s="89">
        <v>13598.92</v>
      </c>
      <c r="N58" s="89">
        <v>6207.06</v>
      </c>
      <c r="O58" s="89">
        <v>73606</v>
      </c>
      <c r="P58" s="89">
        <v>178758</v>
      </c>
      <c r="Q58" s="89">
        <v>154977</v>
      </c>
      <c r="R58" s="89">
        <v>91592</v>
      </c>
      <c r="S58" s="89">
        <v>63999</v>
      </c>
      <c r="T58" s="89"/>
      <c r="U58" s="89">
        <v>458.33</v>
      </c>
      <c r="V58" s="89"/>
      <c r="W58" s="89">
        <v>1</v>
      </c>
      <c r="X58" s="89">
        <v>0</v>
      </c>
      <c r="Y58" s="89">
        <v>1</v>
      </c>
      <c r="Z58" s="89">
        <v>40471</v>
      </c>
      <c r="AA58" s="89">
        <v>30843</v>
      </c>
      <c r="AB58" s="89">
        <v>7</v>
      </c>
      <c r="AC58" s="89"/>
      <c r="AD58" s="89">
        <v>114741</v>
      </c>
      <c r="AE58" s="89">
        <v>1230873</v>
      </c>
      <c r="AF58" s="89"/>
      <c r="AG58" s="89">
        <v>1041</v>
      </c>
      <c r="AH58" s="89"/>
      <c r="AI58" s="89">
        <v>3128</v>
      </c>
      <c r="AJ58" s="89"/>
      <c r="AK58" s="89">
        <v>51</v>
      </c>
      <c r="AL58" s="89">
        <v>243</v>
      </c>
      <c r="AM58" s="89">
        <v>238363</v>
      </c>
      <c r="AN58" s="89">
        <v>0</v>
      </c>
      <c r="AO58" s="89"/>
      <c r="AP58" s="89">
        <v>820</v>
      </c>
      <c r="AQ58" s="89">
        <v>1213</v>
      </c>
      <c r="AR58" s="89">
        <v>520</v>
      </c>
      <c r="AS58" s="89"/>
      <c r="AT58" s="89">
        <v>2390726</v>
      </c>
      <c r="AU58" s="88" t="s">
        <v>312</v>
      </c>
      <c r="AV58" s="252" t="s">
        <v>97</v>
      </c>
      <c r="AW58" s="263"/>
    </row>
    <row r="59" spans="2:49" x14ac:dyDescent="0.35">
      <c r="B59" s="235"/>
      <c r="C59" s="251"/>
      <c r="D59" s="90" t="s">
        <v>345</v>
      </c>
      <c r="E59" s="91"/>
      <c r="F59" s="91"/>
      <c r="G59" s="91"/>
      <c r="H59" s="91">
        <v>153378920.19999999</v>
      </c>
      <c r="I59" s="91"/>
      <c r="J59" s="91">
        <v>195975969.38999999</v>
      </c>
      <c r="K59" s="91">
        <v>13585772.870000005</v>
      </c>
      <c r="L59" s="91">
        <v>79748950.390000001</v>
      </c>
      <c r="M59" s="91">
        <v>149588557.65000001</v>
      </c>
      <c r="N59" s="91">
        <v>25866394.989999998</v>
      </c>
      <c r="O59" s="91">
        <v>47445216.93</v>
      </c>
      <c r="P59" s="91">
        <v>417357965.39999998</v>
      </c>
      <c r="Q59" s="91">
        <v>248870851.16999999</v>
      </c>
      <c r="R59" s="91">
        <v>49508443.529999971</v>
      </c>
      <c r="S59" s="91">
        <v>120394584.51000001</v>
      </c>
      <c r="T59" s="91"/>
      <c r="U59" s="91">
        <v>2353244.33</v>
      </c>
      <c r="V59" s="91"/>
      <c r="W59" s="91">
        <v>1799.9</v>
      </c>
      <c r="X59" s="91">
        <v>946.88</v>
      </c>
      <c r="Y59" s="91">
        <v>1080.5</v>
      </c>
      <c r="Z59" s="91">
        <v>227696790.65000001</v>
      </c>
      <c r="AA59" s="91">
        <v>179723841.05000001</v>
      </c>
      <c r="AB59" s="91">
        <v>203710.18</v>
      </c>
      <c r="AC59" s="91"/>
      <c r="AD59" s="91">
        <v>1238312122.54</v>
      </c>
      <c r="AE59" s="91">
        <v>7143445209.1099997</v>
      </c>
      <c r="AF59" s="91"/>
      <c r="AG59" s="91">
        <v>4554351.92</v>
      </c>
      <c r="AH59" s="91">
        <v>1.0000228881835938E-2</v>
      </c>
      <c r="AI59" s="91">
        <v>10812860.800000001</v>
      </c>
      <c r="AJ59" s="91"/>
      <c r="AK59" s="91">
        <v>444329.88</v>
      </c>
      <c r="AL59" s="91">
        <v>268812.11</v>
      </c>
      <c r="AM59" s="91">
        <v>1741035881.8699999</v>
      </c>
      <c r="AN59" s="91">
        <v>0</v>
      </c>
      <c r="AO59" s="91"/>
      <c r="AP59" s="91">
        <v>2514763.62</v>
      </c>
      <c r="AQ59" s="91">
        <v>5369095.4500000002</v>
      </c>
      <c r="AR59" s="91">
        <v>1065710.18</v>
      </c>
      <c r="AS59" s="91"/>
      <c r="AT59" s="91">
        <v>12059526178.01</v>
      </c>
      <c r="AU59" s="90" t="s">
        <v>344</v>
      </c>
      <c r="AV59" s="253"/>
      <c r="AW59" s="264"/>
    </row>
    <row r="60" spans="2:49" x14ac:dyDescent="0.35">
      <c r="B60" s="254" t="s">
        <v>82</v>
      </c>
      <c r="C60" s="255"/>
      <c r="D60" s="92" t="s">
        <v>313</v>
      </c>
      <c r="E60" s="93">
        <v>4116.1055888028268</v>
      </c>
      <c r="F60" s="93"/>
      <c r="G60" s="93">
        <v>51</v>
      </c>
      <c r="H60" s="93">
        <v>101444</v>
      </c>
      <c r="I60" s="93">
        <v>15082</v>
      </c>
      <c r="J60" s="93">
        <v>79938</v>
      </c>
      <c r="K60" s="93">
        <v>5429</v>
      </c>
      <c r="L60" s="93">
        <v>43941.75</v>
      </c>
      <c r="M60" s="93">
        <v>19035.46</v>
      </c>
      <c r="N60" s="93">
        <v>11084.47</v>
      </c>
      <c r="O60" s="93">
        <v>769716</v>
      </c>
      <c r="P60" s="93">
        <v>1150375</v>
      </c>
      <c r="Q60" s="93">
        <v>1100266</v>
      </c>
      <c r="R60" s="93">
        <v>977970</v>
      </c>
      <c r="S60" s="93">
        <v>135701</v>
      </c>
      <c r="T60" s="93">
        <v>121</v>
      </c>
      <c r="U60" s="93">
        <v>14682.31</v>
      </c>
      <c r="V60" s="93">
        <v>20808.63</v>
      </c>
      <c r="W60" s="93">
        <v>28089</v>
      </c>
      <c r="X60" s="93">
        <v>23464</v>
      </c>
      <c r="Y60" s="93">
        <v>871</v>
      </c>
      <c r="Z60" s="93">
        <v>50228</v>
      </c>
      <c r="AA60" s="93">
        <v>69489</v>
      </c>
      <c r="AB60" s="93">
        <v>527</v>
      </c>
      <c r="AC60" s="93">
        <v>619</v>
      </c>
      <c r="AD60" s="93">
        <v>1194357</v>
      </c>
      <c r="AE60" s="93">
        <v>8193105</v>
      </c>
      <c r="AF60" s="93"/>
      <c r="AG60" s="93">
        <v>24665</v>
      </c>
      <c r="AH60" s="93">
        <v>166</v>
      </c>
      <c r="AI60" s="93">
        <v>6993</v>
      </c>
      <c r="AJ60" s="93">
        <v>145</v>
      </c>
      <c r="AK60" s="93">
        <v>384321</v>
      </c>
      <c r="AL60" s="93">
        <v>214162</v>
      </c>
      <c r="AM60" s="93">
        <v>1810071</v>
      </c>
      <c r="AN60" s="93">
        <v>100560</v>
      </c>
      <c r="AO60" s="93">
        <v>493</v>
      </c>
      <c r="AP60" s="93">
        <v>2203</v>
      </c>
      <c r="AQ60" s="93">
        <v>82708</v>
      </c>
      <c r="AR60" s="93">
        <v>795</v>
      </c>
      <c r="AS60" s="93">
        <v>68</v>
      </c>
      <c r="AT60" s="93">
        <v>16637861</v>
      </c>
      <c r="AU60" s="92" t="s">
        <v>312</v>
      </c>
      <c r="AV60" s="258" t="s">
        <v>98</v>
      </c>
      <c r="AW60" s="259"/>
    </row>
    <row r="61" spans="2:49" x14ac:dyDescent="0.35">
      <c r="B61" s="256"/>
      <c r="C61" s="257"/>
      <c r="D61" s="94" t="s">
        <v>345</v>
      </c>
      <c r="E61" s="95">
        <v>8811120.4144480377</v>
      </c>
      <c r="F61" s="95"/>
      <c r="G61" s="95">
        <v>76509.17</v>
      </c>
      <c r="H61" s="95">
        <v>279125478.18000001</v>
      </c>
      <c r="I61" s="95">
        <v>72974407.310000002</v>
      </c>
      <c r="J61" s="95">
        <v>269872576.72000003</v>
      </c>
      <c r="K61" s="95">
        <v>14501139.699999928</v>
      </c>
      <c r="L61" s="95">
        <v>146474781.84999999</v>
      </c>
      <c r="M61" s="95">
        <v>168116712.06</v>
      </c>
      <c r="N61" s="95">
        <v>45998048.590000004</v>
      </c>
      <c r="O61" s="95">
        <v>901414039.88999999</v>
      </c>
      <c r="P61" s="95">
        <v>5371529991.8599997</v>
      </c>
      <c r="Q61" s="95">
        <v>1782832574.8499999</v>
      </c>
      <c r="R61" s="95">
        <v>1104228335.8199997</v>
      </c>
      <c r="S61" s="95">
        <v>378362119.31999999</v>
      </c>
      <c r="T61" s="95">
        <v>61793.120000000003</v>
      </c>
      <c r="U61" s="95">
        <v>100185707.76000001</v>
      </c>
      <c r="V61" s="95">
        <v>74709742.120000005</v>
      </c>
      <c r="W61" s="95">
        <v>117180237.52</v>
      </c>
      <c r="X61" s="95">
        <v>46984912.670000002</v>
      </c>
      <c r="Y61" s="95">
        <v>6658597.400000006</v>
      </c>
      <c r="Z61" s="95">
        <v>334077558.47000003</v>
      </c>
      <c r="AA61" s="95">
        <v>321242055.39999998</v>
      </c>
      <c r="AB61" s="95">
        <v>5029742.1900000004</v>
      </c>
      <c r="AC61" s="95">
        <v>1557904.57</v>
      </c>
      <c r="AD61" s="95">
        <v>10355564165.469999</v>
      </c>
      <c r="AE61" s="95">
        <v>64012643314.18</v>
      </c>
      <c r="AF61" s="95"/>
      <c r="AG61" s="95">
        <v>76358998.060000002</v>
      </c>
      <c r="AH61" s="95">
        <v>841887.39001464844</v>
      </c>
      <c r="AI61" s="95">
        <v>20763177.690000001</v>
      </c>
      <c r="AJ61" s="95">
        <v>450206.87</v>
      </c>
      <c r="AK61" s="95">
        <v>307895187.16000003</v>
      </c>
      <c r="AL61" s="95">
        <v>126949350.56999999</v>
      </c>
      <c r="AM61" s="95">
        <v>11303148604.809999</v>
      </c>
      <c r="AN61" s="95">
        <v>232116599.68000031</v>
      </c>
      <c r="AO61" s="95">
        <v>1650167.02</v>
      </c>
      <c r="AP61" s="95">
        <v>6263967.2199999997</v>
      </c>
      <c r="AQ61" s="95">
        <v>295963144.08999997</v>
      </c>
      <c r="AR61" s="95">
        <v>1609346.16</v>
      </c>
      <c r="AS61" s="95">
        <v>361011.83999997377</v>
      </c>
      <c r="AT61" s="95">
        <v>98294585215.139999</v>
      </c>
      <c r="AU61" s="94" t="s">
        <v>344</v>
      </c>
      <c r="AV61" s="260"/>
      <c r="AW61" s="261"/>
    </row>
    <row r="62" spans="2:49" x14ac:dyDescent="0.35">
      <c r="B62" s="233">
        <v>2023</v>
      </c>
      <c r="C62" s="250" t="s">
        <v>70</v>
      </c>
      <c r="D62" s="88" t="s">
        <v>313</v>
      </c>
      <c r="E62" s="89">
        <v>340</v>
      </c>
      <c r="F62" s="89"/>
      <c r="G62" s="89"/>
      <c r="H62" s="89">
        <v>4158</v>
      </c>
      <c r="I62" s="89">
        <v>1830</v>
      </c>
      <c r="J62" s="89">
        <v>3212</v>
      </c>
      <c r="K62" s="89">
        <v>0</v>
      </c>
      <c r="L62" s="89">
        <v>4206</v>
      </c>
      <c r="M62" s="89">
        <v>2766</v>
      </c>
      <c r="N62" s="89">
        <v>5556</v>
      </c>
      <c r="O62" s="89">
        <v>156402</v>
      </c>
      <c r="P62" s="89">
        <v>164123</v>
      </c>
      <c r="Q62" s="89">
        <v>164425</v>
      </c>
      <c r="R62" s="89">
        <v>147981</v>
      </c>
      <c r="S62" s="89">
        <v>28913</v>
      </c>
      <c r="T62" s="89"/>
      <c r="U62" s="89">
        <v>1165</v>
      </c>
      <c r="V62" s="89">
        <v>1358</v>
      </c>
      <c r="W62" s="89">
        <v>7873</v>
      </c>
      <c r="X62" s="89">
        <v>7529</v>
      </c>
      <c r="Y62" s="89">
        <v>1135</v>
      </c>
      <c r="Z62" s="89">
        <v>9365</v>
      </c>
      <c r="AA62" s="89">
        <v>11980</v>
      </c>
      <c r="AB62" s="89"/>
      <c r="AC62" s="89">
        <v>406</v>
      </c>
      <c r="AD62" s="89">
        <v>148324</v>
      </c>
      <c r="AE62" s="89">
        <v>1286770</v>
      </c>
      <c r="AF62" s="89"/>
      <c r="AG62" s="89">
        <v>3553</v>
      </c>
      <c r="AH62" s="89">
        <v>35</v>
      </c>
      <c r="AI62" s="89">
        <v>3154</v>
      </c>
      <c r="AJ62" s="89">
        <v>0</v>
      </c>
      <c r="AK62" s="89">
        <v>19885</v>
      </c>
      <c r="AL62" s="89">
        <v>11174</v>
      </c>
      <c r="AM62" s="89">
        <v>254088</v>
      </c>
      <c r="AN62" s="89">
        <v>22976</v>
      </c>
      <c r="AO62" s="89">
        <v>850</v>
      </c>
      <c r="AP62" s="89">
        <v>679</v>
      </c>
      <c r="AQ62" s="89">
        <v>4979</v>
      </c>
      <c r="AR62" s="89"/>
      <c r="AS62" s="89">
        <v>679</v>
      </c>
      <c r="AT62" s="89">
        <v>2481869</v>
      </c>
      <c r="AU62" s="88" t="s">
        <v>312</v>
      </c>
      <c r="AV62" s="252" t="s">
        <v>86</v>
      </c>
      <c r="AW62" s="262">
        <v>2023</v>
      </c>
    </row>
    <row r="63" spans="2:49" x14ac:dyDescent="0.35">
      <c r="B63" s="234"/>
      <c r="C63" s="251"/>
      <c r="D63" s="90" t="s">
        <v>345</v>
      </c>
      <c r="E63" s="91">
        <v>1478175.45</v>
      </c>
      <c r="F63" s="91"/>
      <c r="G63" s="91"/>
      <c r="H63" s="91">
        <v>12210777.16</v>
      </c>
      <c r="I63" s="91">
        <v>2553592.4700000002</v>
      </c>
      <c r="J63" s="91">
        <v>6637674.2699999996</v>
      </c>
      <c r="K63" s="91">
        <v>0</v>
      </c>
      <c r="L63" s="91">
        <v>23276499.719999999</v>
      </c>
      <c r="M63" s="91">
        <v>19534467.719999999</v>
      </c>
      <c r="N63" s="91">
        <v>28405304.91</v>
      </c>
      <c r="O63" s="91">
        <v>228853017.47999999</v>
      </c>
      <c r="P63" s="91">
        <v>532334152.67000002</v>
      </c>
      <c r="Q63" s="91">
        <v>368778923.81</v>
      </c>
      <c r="R63" s="91">
        <v>208203368.47000003</v>
      </c>
      <c r="S63" s="91">
        <v>80905150.879999995</v>
      </c>
      <c r="T63" s="91"/>
      <c r="U63" s="91">
        <v>3011713.48</v>
      </c>
      <c r="V63" s="91">
        <v>3547621.08</v>
      </c>
      <c r="W63" s="91">
        <v>28249603.140000001</v>
      </c>
      <c r="X63" s="91">
        <v>19537554.940000001</v>
      </c>
      <c r="Y63" s="91">
        <v>4722322.57</v>
      </c>
      <c r="Z63" s="91">
        <v>36910092.049999997</v>
      </c>
      <c r="AA63" s="91">
        <v>34681264.390000001</v>
      </c>
      <c r="AB63" s="91"/>
      <c r="AC63" s="91">
        <v>541268.02</v>
      </c>
      <c r="AD63" s="91">
        <v>999395362.91999996</v>
      </c>
      <c r="AE63" s="91">
        <v>6544770808.4300003</v>
      </c>
      <c r="AF63" s="91"/>
      <c r="AG63" s="91">
        <v>10064829.109999999</v>
      </c>
      <c r="AH63" s="91">
        <v>223966.4</v>
      </c>
      <c r="AI63" s="91">
        <v>8972559.5600000005</v>
      </c>
      <c r="AJ63" s="91">
        <v>0</v>
      </c>
      <c r="AK63" s="91">
        <v>26483432.140000001</v>
      </c>
      <c r="AL63" s="91">
        <v>30602886.75</v>
      </c>
      <c r="AM63" s="91">
        <v>1229436602.24</v>
      </c>
      <c r="AN63" s="91">
        <v>59275668.380000003</v>
      </c>
      <c r="AO63" s="91">
        <v>2217263.16</v>
      </c>
      <c r="AP63" s="91">
        <v>2660715.8199999998</v>
      </c>
      <c r="AQ63" s="91">
        <v>11629213.83</v>
      </c>
      <c r="AR63" s="91"/>
      <c r="AS63" s="91">
        <v>2069445.63</v>
      </c>
      <c r="AT63" s="91">
        <v>10572175299.049999</v>
      </c>
      <c r="AU63" s="90" t="s">
        <v>344</v>
      </c>
      <c r="AV63" s="253"/>
      <c r="AW63" s="263"/>
    </row>
    <row r="64" spans="2:49" x14ac:dyDescent="0.35">
      <c r="B64" s="234"/>
      <c r="C64" s="250" t="s">
        <v>71</v>
      </c>
      <c r="D64" s="88" t="s">
        <v>313</v>
      </c>
      <c r="E64" s="89"/>
      <c r="F64" s="89"/>
      <c r="G64" s="89"/>
      <c r="H64" s="89">
        <v>6684</v>
      </c>
      <c r="I64" s="89"/>
      <c r="J64" s="89">
        <v>2881</v>
      </c>
      <c r="K64" s="89">
        <v>24</v>
      </c>
      <c r="L64" s="89">
        <v>2784</v>
      </c>
      <c r="M64" s="89">
        <v>3807</v>
      </c>
      <c r="N64" s="89">
        <v>5969</v>
      </c>
      <c r="O64" s="89">
        <v>90504</v>
      </c>
      <c r="P64" s="89">
        <v>133745</v>
      </c>
      <c r="Q64" s="89">
        <v>139142</v>
      </c>
      <c r="R64" s="89">
        <v>129198</v>
      </c>
      <c r="S64" s="89">
        <v>27920</v>
      </c>
      <c r="T64" s="89"/>
      <c r="U64" s="89">
        <v>2494</v>
      </c>
      <c r="V64" s="89">
        <v>1748</v>
      </c>
      <c r="W64" s="89">
        <v>5537</v>
      </c>
      <c r="X64" s="89">
        <v>4152</v>
      </c>
      <c r="Y64" s="89">
        <v>339</v>
      </c>
      <c r="Z64" s="89">
        <v>15779</v>
      </c>
      <c r="AA64" s="89">
        <v>11908</v>
      </c>
      <c r="AB64" s="89">
        <v>1775</v>
      </c>
      <c r="AC64" s="89">
        <v>0</v>
      </c>
      <c r="AD64" s="89">
        <v>135530</v>
      </c>
      <c r="AE64" s="89">
        <v>1394352</v>
      </c>
      <c r="AF64" s="89"/>
      <c r="AG64" s="89">
        <v>5750</v>
      </c>
      <c r="AH64" s="89">
        <v>0</v>
      </c>
      <c r="AI64" s="89">
        <v>104</v>
      </c>
      <c r="AJ64" s="89">
        <v>0</v>
      </c>
      <c r="AK64" s="89">
        <v>15863</v>
      </c>
      <c r="AL64" s="89">
        <v>7453</v>
      </c>
      <c r="AM64" s="89">
        <v>285998</v>
      </c>
      <c r="AN64" s="89">
        <v>12583</v>
      </c>
      <c r="AO64" s="89">
        <v>998</v>
      </c>
      <c r="AP64" s="89">
        <v>2208</v>
      </c>
      <c r="AQ64" s="89">
        <v>7320</v>
      </c>
      <c r="AR64" s="89">
        <v>1228</v>
      </c>
      <c r="AS64" s="89">
        <v>0</v>
      </c>
      <c r="AT64" s="89">
        <v>2455777</v>
      </c>
      <c r="AU64" s="88" t="s">
        <v>312</v>
      </c>
      <c r="AV64" s="252" t="s">
        <v>87</v>
      </c>
      <c r="AW64" s="263"/>
    </row>
    <row r="65" spans="2:49" x14ac:dyDescent="0.35">
      <c r="B65" s="234"/>
      <c r="C65" s="251"/>
      <c r="D65" s="90" t="s">
        <v>345</v>
      </c>
      <c r="E65" s="91"/>
      <c r="F65" s="91"/>
      <c r="G65" s="91"/>
      <c r="H65" s="91">
        <v>22258981.309999999</v>
      </c>
      <c r="I65" s="91"/>
      <c r="J65" s="91">
        <v>7409472.9199999999</v>
      </c>
      <c r="K65" s="91">
        <v>51739.45</v>
      </c>
      <c r="L65" s="91">
        <v>16040557.17</v>
      </c>
      <c r="M65" s="91">
        <v>17700044.870000001</v>
      </c>
      <c r="N65" s="91">
        <v>24049050.289999999</v>
      </c>
      <c r="O65" s="91">
        <v>137677615.86000001</v>
      </c>
      <c r="P65" s="91">
        <v>476045404.55000001</v>
      </c>
      <c r="Q65" s="91">
        <v>275068379.56</v>
      </c>
      <c r="R65" s="91">
        <v>239605953.58999997</v>
      </c>
      <c r="S65" s="91">
        <v>341555952.22000003</v>
      </c>
      <c r="T65" s="91"/>
      <c r="U65" s="91">
        <v>11724711.92</v>
      </c>
      <c r="V65" s="91">
        <v>5924065</v>
      </c>
      <c r="W65" s="91">
        <v>20647816.760000002</v>
      </c>
      <c r="X65" s="91">
        <v>17701515.32</v>
      </c>
      <c r="Y65" s="91">
        <v>2243507.98</v>
      </c>
      <c r="Z65" s="91">
        <v>65445353.710000001</v>
      </c>
      <c r="AA65" s="91">
        <v>38415199.159999996</v>
      </c>
      <c r="AB65" s="91">
        <v>4878517.3</v>
      </c>
      <c r="AC65" s="91">
        <v>0</v>
      </c>
      <c r="AD65" s="91">
        <v>1024926811.11</v>
      </c>
      <c r="AE65" s="91">
        <v>7595661276.8999996</v>
      </c>
      <c r="AF65" s="91"/>
      <c r="AG65" s="91">
        <v>23800110.32</v>
      </c>
      <c r="AH65" s="91">
        <v>0</v>
      </c>
      <c r="AI65" s="91">
        <v>2276632.2400000002</v>
      </c>
      <c r="AJ65" s="91">
        <v>0</v>
      </c>
      <c r="AK65" s="91">
        <v>39594602.030000001</v>
      </c>
      <c r="AL65" s="91">
        <v>16748974.109999999</v>
      </c>
      <c r="AM65" s="91">
        <v>1208244644.23</v>
      </c>
      <c r="AN65" s="91">
        <v>37087617.410000004</v>
      </c>
      <c r="AO65" s="91">
        <v>5430392.9000000004</v>
      </c>
      <c r="AP65" s="91">
        <v>6792563.3799999999</v>
      </c>
      <c r="AQ65" s="91">
        <v>16093371.4</v>
      </c>
      <c r="AR65" s="91">
        <v>3856506.89</v>
      </c>
      <c r="AS65" s="91">
        <v>0</v>
      </c>
      <c r="AT65" s="91">
        <v>11704957341.860001</v>
      </c>
      <c r="AU65" s="90" t="s">
        <v>344</v>
      </c>
      <c r="AV65" s="253"/>
      <c r="AW65" s="263"/>
    </row>
    <row r="66" spans="2:49" x14ac:dyDescent="0.35">
      <c r="B66" s="234"/>
      <c r="C66" s="250" t="s">
        <v>72</v>
      </c>
      <c r="D66" s="88" t="s">
        <v>313</v>
      </c>
      <c r="E66" s="89"/>
      <c r="F66" s="89"/>
      <c r="G66" s="89"/>
      <c r="H66" s="89">
        <v>9031</v>
      </c>
      <c r="I66" s="89">
        <v>259</v>
      </c>
      <c r="J66" s="89">
        <v>7443</v>
      </c>
      <c r="K66" s="89">
        <v>567</v>
      </c>
      <c r="L66" s="89">
        <v>3470</v>
      </c>
      <c r="M66" s="89">
        <v>2142</v>
      </c>
      <c r="N66" s="89">
        <v>7629</v>
      </c>
      <c r="O66" s="89">
        <v>101412</v>
      </c>
      <c r="P66" s="89">
        <v>112353</v>
      </c>
      <c r="Q66" s="89">
        <v>116321</v>
      </c>
      <c r="R66" s="89">
        <v>132441</v>
      </c>
      <c r="S66" s="89">
        <v>51614</v>
      </c>
      <c r="T66" s="89"/>
      <c r="U66" s="89">
        <v>352</v>
      </c>
      <c r="V66" s="89">
        <v>1058</v>
      </c>
      <c r="W66" s="89">
        <v>8802</v>
      </c>
      <c r="X66" s="89">
        <v>8720</v>
      </c>
      <c r="Y66" s="89"/>
      <c r="Z66" s="89">
        <v>14064</v>
      </c>
      <c r="AA66" s="89">
        <v>10526</v>
      </c>
      <c r="AB66" s="89">
        <v>372</v>
      </c>
      <c r="AC66" s="89">
        <v>232</v>
      </c>
      <c r="AD66" s="89">
        <v>220608</v>
      </c>
      <c r="AE66" s="89">
        <v>1721191</v>
      </c>
      <c r="AF66" s="89"/>
      <c r="AG66" s="89">
        <v>3806</v>
      </c>
      <c r="AH66" s="89">
        <v>423</v>
      </c>
      <c r="AI66" s="89"/>
      <c r="AJ66" s="89">
        <v>0</v>
      </c>
      <c r="AK66" s="89">
        <v>8916</v>
      </c>
      <c r="AL66" s="89">
        <v>15071</v>
      </c>
      <c r="AM66" s="89">
        <v>268723</v>
      </c>
      <c r="AN66" s="89">
        <v>24981</v>
      </c>
      <c r="AO66" s="89"/>
      <c r="AP66" s="89">
        <v>1516</v>
      </c>
      <c r="AQ66" s="89">
        <v>13493</v>
      </c>
      <c r="AR66" s="89">
        <v>1267</v>
      </c>
      <c r="AS66" s="89">
        <v>744</v>
      </c>
      <c r="AT66" s="89">
        <v>2869547</v>
      </c>
      <c r="AU66" s="88" t="s">
        <v>312</v>
      </c>
      <c r="AV66" s="252" t="s">
        <v>88</v>
      </c>
      <c r="AW66" s="263"/>
    </row>
    <row r="67" spans="2:49" x14ac:dyDescent="0.35">
      <c r="B67" s="234"/>
      <c r="C67" s="251"/>
      <c r="D67" s="90" t="s">
        <v>345</v>
      </c>
      <c r="E67" s="91"/>
      <c r="F67" s="91"/>
      <c r="G67" s="91"/>
      <c r="H67" s="91">
        <v>25805066.300000001</v>
      </c>
      <c r="I67" s="91">
        <v>259175.16</v>
      </c>
      <c r="J67" s="91">
        <v>30422191.280000001</v>
      </c>
      <c r="K67" s="91">
        <v>707941.74</v>
      </c>
      <c r="L67" s="91">
        <v>18349945.370000001</v>
      </c>
      <c r="M67" s="91">
        <v>9851664.9600000009</v>
      </c>
      <c r="N67" s="91">
        <v>98003747.280000001</v>
      </c>
      <c r="O67" s="91">
        <v>145548879.22999999</v>
      </c>
      <c r="P67" s="91">
        <v>332249332.06999999</v>
      </c>
      <c r="Q67" s="91">
        <v>244751355.38999999</v>
      </c>
      <c r="R67" s="91">
        <v>183800295.16000003</v>
      </c>
      <c r="S67" s="91">
        <v>446833800.22000003</v>
      </c>
      <c r="T67" s="91"/>
      <c r="U67" s="91">
        <v>921799.51</v>
      </c>
      <c r="V67" s="91">
        <v>3791592.12</v>
      </c>
      <c r="W67" s="91">
        <v>44014526.659999996</v>
      </c>
      <c r="X67" s="91">
        <v>31502453.09</v>
      </c>
      <c r="Y67" s="91"/>
      <c r="Z67" s="91">
        <v>80613544.909999996</v>
      </c>
      <c r="AA67" s="91">
        <v>28918666.359999999</v>
      </c>
      <c r="AB67" s="91">
        <v>798544.2</v>
      </c>
      <c r="AC67" s="91">
        <v>854310.18</v>
      </c>
      <c r="AD67" s="91">
        <v>1398496417.8299999</v>
      </c>
      <c r="AE67" s="91">
        <v>12488999402.110001</v>
      </c>
      <c r="AF67" s="91"/>
      <c r="AG67" s="91">
        <v>16646655.939999999</v>
      </c>
      <c r="AH67" s="91">
        <v>1079080.3400000001</v>
      </c>
      <c r="AI67" s="91"/>
      <c r="AJ67" s="91">
        <v>0</v>
      </c>
      <c r="AK67" s="91">
        <v>17785696.809999999</v>
      </c>
      <c r="AL67" s="91">
        <v>26291460.109999999</v>
      </c>
      <c r="AM67" s="91">
        <v>1478085215.1199999</v>
      </c>
      <c r="AN67" s="91">
        <v>105301430.94</v>
      </c>
      <c r="AO67" s="91"/>
      <c r="AP67" s="91">
        <v>4479517.05</v>
      </c>
      <c r="AQ67" s="91">
        <v>26723142.109999999</v>
      </c>
      <c r="AR67" s="91">
        <v>2690507.01</v>
      </c>
      <c r="AS67" s="91">
        <v>3012468.72</v>
      </c>
      <c r="AT67" s="91">
        <v>17297589825.279999</v>
      </c>
      <c r="AU67" s="90" t="s">
        <v>344</v>
      </c>
      <c r="AV67" s="253"/>
      <c r="AW67" s="263"/>
    </row>
    <row r="68" spans="2:49" x14ac:dyDescent="0.35">
      <c r="B68" s="234"/>
      <c r="C68" s="250" t="s">
        <v>73</v>
      </c>
      <c r="D68" s="88" t="s">
        <v>313</v>
      </c>
      <c r="E68" s="89"/>
      <c r="F68" s="89"/>
      <c r="G68" s="89"/>
      <c r="H68" s="89">
        <v>1193</v>
      </c>
      <c r="I68" s="89"/>
      <c r="J68" s="89">
        <v>797</v>
      </c>
      <c r="K68" s="89">
        <v>0</v>
      </c>
      <c r="L68" s="89">
        <v>2472</v>
      </c>
      <c r="M68" s="89">
        <v>1347</v>
      </c>
      <c r="N68" s="89">
        <v>10598</v>
      </c>
      <c r="O68" s="89">
        <v>108121</v>
      </c>
      <c r="P68" s="89">
        <v>119328</v>
      </c>
      <c r="Q68" s="89">
        <v>133681</v>
      </c>
      <c r="R68" s="89">
        <v>151991</v>
      </c>
      <c r="S68" s="89">
        <v>29591</v>
      </c>
      <c r="T68" s="89"/>
      <c r="U68" s="89">
        <v>100</v>
      </c>
      <c r="V68" s="89"/>
      <c r="W68" s="89">
        <v>9270</v>
      </c>
      <c r="X68" s="89">
        <v>3692</v>
      </c>
      <c r="Y68" s="89"/>
      <c r="Z68" s="89">
        <v>8686</v>
      </c>
      <c r="AA68" s="89">
        <v>46341</v>
      </c>
      <c r="AB68" s="89">
        <v>8190</v>
      </c>
      <c r="AC68" s="89">
        <v>239</v>
      </c>
      <c r="AD68" s="89">
        <v>129150</v>
      </c>
      <c r="AE68" s="89">
        <v>1422961</v>
      </c>
      <c r="AF68" s="89"/>
      <c r="AG68" s="89">
        <v>4871</v>
      </c>
      <c r="AH68" s="89">
        <v>1061</v>
      </c>
      <c r="AI68" s="89">
        <v>207</v>
      </c>
      <c r="AJ68" s="89">
        <v>0</v>
      </c>
      <c r="AK68" s="89">
        <v>6523</v>
      </c>
      <c r="AL68" s="89">
        <v>14079</v>
      </c>
      <c r="AM68" s="89">
        <v>191585</v>
      </c>
      <c r="AN68" s="89">
        <v>15065</v>
      </c>
      <c r="AO68" s="89"/>
      <c r="AP68" s="89"/>
      <c r="AQ68" s="89">
        <v>3002</v>
      </c>
      <c r="AR68" s="89"/>
      <c r="AS68" s="89">
        <v>0</v>
      </c>
      <c r="AT68" s="89">
        <v>2424141</v>
      </c>
      <c r="AU68" s="88" t="s">
        <v>312</v>
      </c>
      <c r="AV68" s="252" t="s">
        <v>89</v>
      </c>
      <c r="AW68" s="263"/>
    </row>
    <row r="69" spans="2:49" x14ac:dyDescent="0.35">
      <c r="B69" s="234"/>
      <c r="C69" s="251"/>
      <c r="D69" s="90" t="s">
        <v>345</v>
      </c>
      <c r="E69" s="91"/>
      <c r="F69" s="91"/>
      <c r="G69" s="91"/>
      <c r="H69" s="91">
        <v>2800899.76</v>
      </c>
      <c r="I69" s="91"/>
      <c r="J69" s="91">
        <v>2440758.84</v>
      </c>
      <c r="K69" s="91">
        <v>0</v>
      </c>
      <c r="L69" s="91">
        <v>8072715.7800000003</v>
      </c>
      <c r="M69" s="91">
        <v>7424065.7800000003</v>
      </c>
      <c r="N69" s="91">
        <v>97764204.290000007</v>
      </c>
      <c r="O69" s="91">
        <v>91014106.840000004</v>
      </c>
      <c r="P69" s="91">
        <v>467499814.75</v>
      </c>
      <c r="Q69" s="91">
        <v>296195089.88</v>
      </c>
      <c r="R69" s="91">
        <v>149821483.10000002</v>
      </c>
      <c r="S69" s="91">
        <v>61958759.280000001</v>
      </c>
      <c r="T69" s="91"/>
      <c r="U69" s="91">
        <v>622983.31999999995</v>
      </c>
      <c r="V69" s="91"/>
      <c r="W69" s="91">
        <v>19099460.629999999</v>
      </c>
      <c r="X69" s="91">
        <v>3477797.96</v>
      </c>
      <c r="Y69" s="91"/>
      <c r="Z69" s="91">
        <v>37448406.07</v>
      </c>
      <c r="AA69" s="91">
        <v>406728552.07999998</v>
      </c>
      <c r="AB69" s="91">
        <v>23262463.41</v>
      </c>
      <c r="AC69" s="91">
        <v>446828.67</v>
      </c>
      <c r="AD69" s="91">
        <v>1416901328.79</v>
      </c>
      <c r="AE69" s="91">
        <v>8914907837.2600002</v>
      </c>
      <c r="AF69" s="91"/>
      <c r="AG69" s="91">
        <v>20478481.510000002</v>
      </c>
      <c r="AH69" s="91">
        <v>6636695.6200000001</v>
      </c>
      <c r="AI69" s="91">
        <v>740733.63</v>
      </c>
      <c r="AJ69" s="91">
        <v>0</v>
      </c>
      <c r="AK69" s="91">
        <v>5919145.29</v>
      </c>
      <c r="AL69" s="91">
        <v>22906377.760000002</v>
      </c>
      <c r="AM69" s="91">
        <v>829978684.64999998</v>
      </c>
      <c r="AN69" s="91">
        <v>67119970.5</v>
      </c>
      <c r="AO69" s="91"/>
      <c r="AP69" s="91"/>
      <c r="AQ69" s="91">
        <v>2294928.2599999998</v>
      </c>
      <c r="AR69" s="91"/>
      <c r="AS69" s="91">
        <v>0</v>
      </c>
      <c r="AT69" s="91">
        <v>12963962573.709999</v>
      </c>
      <c r="AU69" s="90" t="s">
        <v>344</v>
      </c>
      <c r="AV69" s="253"/>
      <c r="AW69" s="263"/>
    </row>
    <row r="70" spans="2:49" x14ac:dyDescent="0.35">
      <c r="B70" s="234"/>
      <c r="C70" s="250" t="s">
        <v>74</v>
      </c>
      <c r="D70" s="88" t="s">
        <v>313</v>
      </c>
      <c r="E70" s="89">
        <v>1188</v>
      </c>
      <c r="F70" s="89"/>
      <c r="G70" s="89"/>
      <c r="H70" s="89">
        <v>5449</v>
      </c>
      <c r="I70" s="89"/>
      <c r="J70" s="89">
        <v>2172</v>
      </c>
      <c r="K70" s="89">
        <v>0</v>
      </c>
      <c r="L70" s="89">
        <v>1935</v>
      </c>
      <c r="M70" s="89">
        <v>3952</v>
      </c>
      <c r="N70" s="89">
        <v>2419</v>
      </c>
      <c r="O70" s="89">
        <v>70786</v>
      </c>
      <c r="P70" s="89">
        <v>105427</v>
      </c>
      <c r="Q70" s="89">
        <v>87006</v>
      </c>
      <c r="R70" s="89">
        <v>91486</v>
      </c>
      <c r="S70" s="89">
        <v>49748</v>
      </c>
      <c r="T70" s="89"/>
      <c r="U70" s="89">
        <v>1061</v>
      </c>
      <c r="V70" s="89">
        <v>144</v>
      </c>
      <c r="W70" s="89">
        <v>11522</v>
      </c>
      <c r="X70" s="89">
        <v>4150</v>
      </c>
      <c r="Y70" s="89">
        <v>91</v>
      </c>
      <c r="Z70" s="89">
        <v>6064</v>
      </c>
      <c r="AA70" s="89">
        <v>8597</v>
      </c>
      <c r="AB70" s="89"/>
      <c r="AC70" s="89">
        <v>0</v>
      </c>
      <c r="AD70" s="89">
        <v>106815</v>
      </c>
      <c r="AE70" s="89">
        <v>632895</v>
      </c>
      <c r="AF70" s="89"/>
      <c r="AG70" s="89">
        <v>3021</v>
      </c>
      <c r="AH70" s="89">
        <v>0</v>
      </c>
      <c r="AI70" s="89">
        <v>326</v>
      </c>
      <c r="AJ70" s="89">
        <v>0</v>
      </c>
      <c r="AK70" s="89">
        <v>10486</v>
      </c>
      <c r="AL70" s="89">
        <v>12607</v>
      </c>
      <c r="AM70" s="89">
        <v>273006</v>
      </c>
      <c r="AN70" s="89">
        <v>10948</v>
      </c>
      <c r="AO70" s="89">
        <v>302</v>
      </c>
      <c r="AP70" s="89">
        <v>830</v>
      </c>
      <c r="AQ70" s="89">
        <v>8401</v>
      </c>
      <c r="AR70" s="89">
        <v>962</v>
      </c>
      <c r="AS70" s="89">
        <v>604</v>
      </c>
      <c r="AT70" s="89">
        <v>1514400</v>
      </c>
      <c r="AU70" s="88" t="s">
        <v>312</v>
      </c>
      <c r="AV70" s="252" t="s">
        <v>90</v>
      </c>
      <c r="AW70" s="263"/>
    </row>
    <row r="71" spans="2:49" x14ac:dyDescent="0.35">
      <c r="B71" s="234"/>
      <c r="C71" s="251"/>
      <c r="D71" s="90" t="s">
        <v>345</v>
      </c>
      <c r="E71" s="91">
        <v>2827553.99</v>
      </c>
      <c r="F71" s="91"/>
      <c r="G71" s="91"/>
      <c r="H71" s="91">
        <v>13503066.76</v>
      </c>
      <c r="I71" s="91"/>
      <c r="J71" s="91">
        <v>5770869</v>
      </c>
      <c r="K71" s="91">
        <v>0</v>
      </c>
      <c r="L71" s="91">
        <v>12454487.640000001</v>
      </c>
      <c r="M71" s="91">
        <v>46102236.009999998</v>
      </c>
      <c r="N71" s="91">
        <v>39045501.43</v>
      </c>
      <c r="O71" s="91">
        <v>57033836.969999999</v>
      </c>
      <c r="P71" s="91">
        <v>653595722.17999995</v>
      </c>
      <c r="Q71" s="91">
        <v>267866930.59</v>
      </c>
      <c r="R71" s="91">
        <v>90576661.050000012</v>
      </c>
      <c r="S71" s="91">
        <v>597894850.62</v>
      </c>
      <c r="T71" s="91"/>
      <c r="U71" s="91">
        <v>4187161.69</v>
      </c>
      <c r="V71" s="91">
        <v>963473.25</v>
      </c>
      <c r="W71" s="91">
        <v>44100234.909999996</v>
      </c>
      <c r="X71" s="91">
        <v>10108333.810000001</v>
      </c>
      <c r="Y71" s="91">
        <v>42328.86</v>
      </c>
      <c r="Z71" s="91">
        <v>31915013.829999998</v>
      </c>
      <c r="AA71" s="91">
        <v>32404436.859999999</v>
      </c>
      <c r="AB71" s="91"/>
      <c r="AC71" s="91">
        <v>0</v>
      </c>
      <c r="AD71" s="91">
        <v>657761672.95000005</v>
      </c>
      <c r="AE71" s="91">
        <v>4334102074.1700001</v>
      </c>
      <c r="AF71" s="91"/>
      <c r="AG71" s="91">
        <v>8284345.3499999996</v>
      </c>
      <c r="AH71" s="91">
        <v>0</v>
      </c>
      <c r="AI71" s="91">
        <v>935507.56</v>
      </c>
      <c r="AJ71" s="91">
        <v>0</v>
      </c>
      <c r="AK71" s="91">
        <v>21591398.5</v>
      </c>
      <c r="AL71" s="91">
        <v>22136254.950000003</v>
      </c>
      <c r="AM71" s="91">
        <v>2142219323.9400001</v>
      </c>
      <c r="AN71" s="91">
        <v>36415970.199999988</v>
      </c>
      <c r="AO71" s="91">
        <v>1240349.04</v>
      </c>
      <c r="AP71" s="91">
        <v>2350425.4</v>
      </c>
      <c r="AQ71" s="91">
        <v>21921311.539999999</v>
      </c>
      <c r="AR71" s="91">
        <v>2917499.27</v>
      </c>
      <c r="AS71" s="91">
        <v>1659255.11</v>
      </c>
      <c r="AT71" s="91">
        <v>9163928087.4300003</v>
      </c>
      <c r="AU71" s="90" t="s">
        <v>344</v>
      </c>
      <c r="AV71" s="253"/>
      <c r="AW71" s="263"/>
    </row>
    <row r="72" spans="2:49" x14ac:dyDescent="0.35">
      <c r="B72" s="234"/>
      <c r="C72" s="250" t="s">
        <v>75</v>
      </c>
      <c r="D72" s="88" t="s">
        <v>313</v>
      </c>
      <c r="E72" s="89"/>
      <c r="F72" s="89"/>
      <c r="G72" s="89"/>
      <c r="H72" s="89">
        <v>2734</v>
      </c>
      <c r="I72" s="89"/>
      <c r="J72" s="89">
        <v>1996</v>
      </c>
      <c r="K72" s="89">
        <v>0</v>
      </c>
      <c r="L72" s="89">
        <v>5780</v>
      </c>
      <c r="M72" s="89">
        <v>355</v>
      </c>
      <c r="N72" s="89">
        <v>2496</v>
      </c>
      <c r="O72" s="89">
        <v>92940</v>
      </c>
      <c r="P72" s="89">
        <v>133821</v>
      </c>
      <c r="Q72" s="89">
        <v>117524</v>
      </c>
      <c r="R72" s="89">
        <v>138378</v>
      </c>
      <c r="S72" s="89">
        <v>20201</v>
      </c>
      <c r="T72" s="89"/>
      <c r="U72" s="89">
        <v>55</v>
      </c>
      <c r="V72" s="89">
        <v>1137</v>
      </c>
      <c r="W72" s="89">
        <v>7839</v>
      </c>
      <c r="X72" s="89">
        <v>6058</v>
      </c>
      <c r="Y72" s="89"/>
      <c r="Z72" s="89">
        <v>5813</v>
      </c>
      <c r="AA72" s="89">
        <v>9483</v>
      </c>
      <c r="AB72" s="89"/>
      <c r="AC72" s="89">
        <v>550</v>
      </c>
      <c r="AD72" s="89">
        <v>157663</v>
      </c>
      <c r="AE72" s="89">
        <v>1881004</v>
      </c>
      <c r="AF72" s="89"/>
      <c r="AG72" s="89">
        <v>1085</v>
      </c>
      <c r="AH72" s="89">
        <v>1526</v>
      </c>
      <c r="AI72" s="89">
        <v>918</v>
      </c>
      <c r="AJ72" s="89">
        <v>0</v>
      </c>
      <c r="AK72" s="89">
        <v>14595</v>
      </c>
      <c r="AL72" s="89">
        <v>24936</v>
      </c>
      <c r="AM72" s="89">
        <v>195478</v>
      </c>
      <c r="AN72" s="89">
        <v>11081</v>
      </c>
      <c r="AO72" s="89"/>
      <c r="AP72" s="89">
        <v>947</v>
      </c>
      <c r="AQ72" s="89">
        <v>9422</v>
      </c>
      <c r="AR72" s="89">
        <v>840</v>
      </c>
      <c r="AS72" s="89">
        <v>840</v>
      </c>
      <c r="AT72" s="89">
        <v>2847495</v>
      </c>
      <c r="AU72" s="88" t="s">
        <v>312</v>
      </c>
      <c r="AV72" s="252" t="s">
        <v>91</v>
      </c>
      <c r="AW72" s="263"/>
    </row>
    <row r="73" spans="2:49" x14ac:dyDescent="0.35">
      <c r="B73" s="234"/>
      <c r="C73" s="251"/>
      <c r="D73" s="90" t="s">
        <v>345</v>
      </c>
      <c r="E73" s="91"/>
      <c r="F73" s="91"/>
      <c r="G73" s="91"/>
      <c r="H73" s="91">
        <v>8183303.0700000003</v>
      </c>
      <c r="I73" s="91"/>
      <c r="J73" s="91">
        <v>7483547.8399999999</v>
      </c>
      <c r="K73" s="91">
        <v>0</v>
      </c>
      <c r="L73" s="91">
        <v>26989704.57</v>
      </c>
      <c r="M73" s="91">
        <v>2131331.7999999998</v>
      </c>
      <c r="N73" s="91">
        <v>9238235.1199999992</v>
      </c>
      <c r="O73" s="91">
        <v>92277918.230000004</v>
      </c>
      <c r="P73" s="91">
        <v>458388720.64999998</v>
      </c>
      <c r="Q73" s="91">
        <v>199541446.49000001</v>
      </c>
      <c r="R73" s="91">
        <v>128396230.52</v>
      </c>
      <c r="S73" s="91">
        <v>103741513.81</v>
      </c>
      <c r="T73" s="91"/>
      <c r="U73" s="91">
        <v>181196.46</v>
      </c>
      <c r="V73" s="91">
        <v>2488183.1800000002</v>
      </c>
      <c r="W73" s="91">
        <v>22469116.210000001</v>
      </c>
      <c r="X73" s="91">
        <v>19676983.719999999</v>
      </c>
      <c r="Y73" s="91"/>
      <c r="Z73" s="91">
        <v>37444625.670000002</v>
      </c>
      <c r="AA73" s="91">
        <v>33212830.190000001</v>
      </c>
      <c r="AB73" s="91"/>
      <c r="AC73" s="91">
        <v>495409.39</v>
      </c>
      <c r="AD73" s="91">
        <v>1044283124.41</v>
      </c>
      <c r="AE73" s="91">
        <v>27094061300.279999</v>
      </c>
      <c r="AF73" s="91"/>
      <c r="AG73" s="91">
        <v>3642094.41</v>
      </c>
      <c r="AH73" s="91">
        <v>7539067.25</v>
      </c>
      <c r="AI73" s="91">
        <v>477060.87</v>
      </c>
      <c r="AJ73" s="91">
        <v>0</v>
      </c>
      <c r="AK73" s="91">
        <v>21791245.620000001</v>
      </c>
      <c r="AL73" s="91">
        <v>55881966.789999999</v>
      </c>
      <c r="AM73" s="91">
        <v>838514361.12</v>
      </c>
      <c r="AN73" s="91">
        <v>44649337.530000001</v>
      </c>
      <c r="AO73" s="91"/>
      <c r="AP73" s="91">
        <v>1250010.19</v>
      </c>
      <c r="AQ73" s="91">
        <v>22467626.879999999</v>
      </c>
      <c r="AR73" s="91">
        <v>1657855.73</v>
      </c>
      <c r="AS73" s="91">
        <v>1611155.85</v>
      </c>
      <c r="AT73" s="91">
        <v>30290166503.849998</v>
      </c>
      <c r="AU73" s="90" t="s">
        <v>344</v>
      </c>
      <c r="AV73" s="253"/>
      <c r="AW73" s="263"/>
    </row>
    <row r="74" spans="2:49" x14ac:dyDescent="0.35">
      <c r="B74" s="234"/>
      <c r="C74" s="250" t="s">
        <v>76</v>
      </c>
      <c r="D74" s="88" t="s">
        <v>313</v>
      </c>
      <c r="E74" s="89">
        <v>1383</v>
      </c>
      <c r="F74" s="89"/>
      <c r="G74" s="89"/>
      <c r="H74" s="89">
        <v>10530</v>
      </c>
      <c r="I74" s="89">
        <v>1386</v>
      </c>
      <c r="J74" s="89">
        <v>7363</v>
      </c>
      <c r="K74" s="89">
        <v>178</v>
      </c>
      <c r="L74" s="89">
        <v>11549</v>
      </c>
      <c r="M74" s="89">
        <v>2616</v>
      </c>
      <c r="N74" s="89">
        <v>4912</v>
      </c>
      <c r="O74" s="89">
        <v>99610</v>
      </c>
      <c r="P74" s="89">
        <v>140049</v>
      </c>
      <c r="Q74" s="89">
        <v>111457</v>
      </c>
      <c r="R74" s="89">
        <v>130768</v>
      </c>
      <c r="S74" s="89">
        <v>24251</v>
      </c>
      <c r="T74" s="89"/>
      <c r="U74" s="89">
        <v>883</v>
      </c>
      <c r="V74" s="89"/>
      <c r="W74" s="89">
        <v>6519</v>
      </c>
      <c r="X74" s="89">
        <v>8161</v>
      </c>
      <c r="Y74" s="89">
        <v>178</v>
      </c>
      <c r="Z74" s="89">
        <v>8374</v>
      </c>
      <c r="AA74" s="89">
        <v>32909</v>
      </c>
      <c r="AB74" s="89">
        <v>2485</v>
      </c>
      <c r="AC74" s="89">
        <v>0</v>
      </c>
      <c r="AD74" s="89">
        <v>102432</v>
      </c>
      <c r="AE74" s="89">
        <v>360971</v>
      </c>
      <c r="AF74" s="89">
        <v>67</v>
      </c>
      <c r="AG74" s="89">
        <v>8037</v>
      </c>
      <c r="AH74" s="89">
        <v>433</v>
      </c>
      <c r="AI74" s="89">
        <v>3331</v>
      </c>
      <c r="AJ74" s="89">
        <v>706</v>
      </c>
      <c r="AK74" s="89">
        <v>13626</v>
      </c>
      <c r="AL74" s="89">
        <v>14226</v>
      </c>
      <c r="AM74" s="89">
        <v>195450</v>
      </c>
      <c r="AN74" s="89">
        <v>22237</v>
      </c>
      <c r="AO74" s="89">
        <v>178</v>
      </c>
      <c r="AP74" s="89">
        <v>780</v>
      </c>
      <c r="AQ74" s="89">
        <v>20062</v>
      </c>
      <c r="AR74" s="89">
        <v>178</v>
      </c>
      <c r="AS74" s="89">
        <v>1495</v>
      </c>
      <c r="AT74" s="89">
        <v>1349770</v>
      </c>
      <c r="AU74" s="88" t="s">
        <v>312</v>
      </c>
      <c r="AV74" s="252" t="s">
        <v>92</v>
      </c>
      <c r="AW74" s="263"/>
    </row>
    <row r="75" spans="2:49" x14ac:dyDescent="0.35">
      <c r="B75" s="234"/>
      <c r="C75" s="251"/>
      <c r="D75" s="90" t="s">
        <v>345</v>
      </c>
      <c r="E75" s="91">
        <v>3972836.47</v>
      </c>
      <c r="F75" s="91"/>
      <c r="G75" s="91"/>
      <c r="H75" s="91">
        <v>16927108.329999998</v>
      </c>
      <c r="I75" s="91">
        <v>1536786.67</v>
      </c>
      <c r="J75" s="91">
        <v>14697432.130000001</v>
      </c>
      <c r="K75" s="91">
        <v>287131.25</v>
      </c>
      <c r="L75" s="91">
        <v>29559427.07</v>
      </c>
      <c r="M75" s="91">
        <v>8938442.9199999999</v>
      </c>
      <c r="N75" s="91">
        <v>15100346.34</v>
      </c>
      <c r="O75" s="91">
        <v>107159446.45999999</v>
      </c>
      <c r="P75" s="91">
        <v>466788047.51999998</v>
      </c>
      <c r="Q75" s="91">
        <v>197712490.68000001</v>
      </c>
      <c r="R75" s="91">
        <v>133309466.16</v>
      </c>
      <c r="S75" s="91">
        <v>95752114.810000002</v>
      </c>
      <c r="T75" s="91"/>
      <c r="U75" s="91">
        <v>2087171.88</v>
      </c>
      <c r="V75" s="91"/>
      <c r="W75" s="91">
        <v>9157268.4700000007</v>
      </c>
      <c r="X75" s="91">
        <v>10138820.039999999</v>
      </c>
      <c r="Y75" s="91">
        <v>422248.39</v>
      </c>
      <c r="Z75" s="91">
        <v>45463522.350000001</v>
      </c>
      <c r="AA75" s="91">
        <v>127471218.77</v>
      </c>
      <c r="AB75" s="91">
        <v>4369429.75</v>
      </c>
      <c r="AC75" s="91">
        <v>0</v>
      </c>
      <c r="AD75" s="91">
        <v>524313987.54000002</v>
      </c>
      <c r="AE75" s="91">
        <v>2329533932.0599999</v>
      </c>
      <c r="AF75" s="91">
        <v>329712.61</v>
      </c>
      <c r="AG75" s="91">
        <v>20928194.59</v>
      </c>
      <c r="AH75" s="91">
        <v>423707.74</v>
      </c>
      <c r="AI75" s="91">
        <v>9263657.1099999994</v>
      </c>
      <c r="AJ75" s="91">
        <v>927333.49</v>
      </c>
      <c r="AK75" s="91">
        <v>13075893.369999999</v>
      </c>
      <c r="AL75" s="91">
        <v>17849377.010000002</v>
      </c>
      <c r="AM75" s="91">
        <v>624491575.08000004</v>
      </c>
      <c r="AN75" s="91">
        <v>69825168.449999988</v>
      </c>
      <c r="AO75" s="91">
        <v>300921.33</v>
      </c>
      <c r="AP75" s="91">
        <v>714520.78</v>
      </c>
      <c r="AQ75" s="91">
        <v>68807481.430000007</v>
      </c>
      <c r="AR75" s="91">
        <v>258478.67</v>
      </c>
      <c r="AS75" s="91">
        <v>2570059.2199999997</v>
      </c>
      <c r="AT75" s="91">
        <v>4974464756.9399996</v>
      </c>
      <c r="AU75" s="90" t="s">
        <v>344</v>
      </c>
      <c r="AV75" s="253"/>
      <c r="AW75" s="263"/>
    </row>
    <row r="76" spans="2:49" x14ac:dyDescent="0.35">
      <c r="B76" s="234"/>
      <c r="C76" s="250" t="s">
        <v>77</v>
      </c>
      <c r="D76" s="88" t="s">
        <v>313</v>
      </c>
      <c r="E76" s="89">
        <v>8195</v>
      </c>
      <c r="F76" s="89"/>
      <c r="G76" s="89"/>
      <c r="H76" s="89">
        <v>11291</v>
      </c>
      <c r="I76" s="89"/>
      <c r="J76" s="89">
        <v>232</v>
      </c>
      <c r="K76" s="89">
        <v>6</v>
      </c>
      <c r="L76" s="89">
        <v>19204</v>
      </c>
      <c r="M76" s="89">
        <v>3119</v>
      </c>
      <c r="N76" s="89">
        <v>6084</v>
      </c>
      <c r="O76" s="89">
        <v>111251</v>
      </c>
      <c r="P76" s="89">
        <v>124113</v>
      </c>
      <c r="Q76" s="89">
        <v>139710</v>
      </c>
      <c r="R76" s="89">
        <v>176431</v>
      </c>
      <c r="S76" s="89">
        <v>26448</v>
      </c>
      <c r="T76" s="89"/>
      <c r="U76" s="89">
        <v>822</v>
      </c>
      <c r="V76" s="89"/>
      <c r="W76" s="89">
        <v>9673</v>
      </c>
      <c r="X76" s="89">
        <v>8367</v>
      </c>
      <c r="Y76" s="89">
        <v>1322</v>
      </c>
      <c r="Z76" s="89">
        <v>4539</v>
      </c>
      <c r="AA76" s="89">
        <v>13064</v>
      </c>
      <c r="AB76" s="89"/>
      <c r="AC76" s="89">
        <v>0</v>
      </c>
      <c r="AD76" s="89">
        <v>94179</v>
      </c>
      <c r="AE76" s="89">
        <v>1045247</v>
      </c>
      <c r="AF76" s="89"/>
      <c r="AG76" s="89">
        <v>12671</v>
      </c>
      <c r="AH76" s="89">
        <v>0</v>
      </c>
      <c r="AI76" s="89">
        <v>1387</v>
      </c>
      <c r="AJ76" s="89">
        <v>395</v>
      </c>
      <c r="AK76" s="89">
        <v>17100</v>
      </c>
      <c r="AL76" s="89">
        <v>21194</v>
      </c>
      <c r="AM76" s="89">
        <v>225440</v>
      </c>
      <c r="AN76" s="89">
        <v>18369</v>
      </c>
      <c r="AO76" s="89">
        <v>245</v>
      </c>
      <c r="AP76" s="89">
        <v>778</v>
      </c>
      <c r="AQ76" s="89">
        <v>7131</v>
      </c>
      <c r="AR76" s="89">
        <v>448</v>
      </c>
      <c r="AS76" s="89">
        <v>778</v>
      </c>
      <c r="AT76" s="89">
        <v>2109233</v>
      </c>
      <c r="AU76" s="88" t="s">
        <v>312</v>
      </c>
      <c r="AV76" s="252" t="s">
        <v>93</v>
      </c>
      <c r="AW76" s="263"/>
    </row>
    <row r="77" spans="2:49" x14ac:dyDescent="0.35">
      <c r="B77" s="234"/>
      <c r="C77" s="251"/>
      <c r="D77" s="90" t="s">
        <v>345</v>
      </c>
      <c r="E77" s="91">
        <v>21871808.100000001</v>
      </c>
      <c r="F77" s="91"/>
      <c r="G77" s="91"/>
      <c r="H77" s="91">
        <v>23935068.859999999</v>
      </c>
      <c r="I77" s="91"/>
      <c r="J77" s="91">
        <v>727200.23</v>
      </c>
      <c r="K77" s="91">
        <v>7724.37</v>
      </c>
      <c r="L77" s="91">
        <v>54728362.310000002</v>
      </c>
      <c r="M77" s="91">
        <v>9574872.4000000004</v>
      </c>
      <c r="N77" s="91">
        <v>15663178.33</v>
      </c>
      <c r="O77" s="91">
        <v>112582841.54000001</v>
      </c>
      <c r="P77" s="91">
        <v>301503690.39999998</v>
      </c>
      <c r="Q77" s="91">
        <v>300661359.20999998</v>
      </c>
      <c r="R77" s="91">
        <v>151752987.17000002</v>
      </c>
      <c r="S77" s="91">
        <v>100630816.29000001</v>
      </c>
      <c r="T77" s="91"/>
      <c r="U77" s="91">
        <v>1950902.36</v>
      </c>
      <c r="V77" s="91"/>
      <c r="W77" s="91">
        <v>15700486.939999999</v>
      </c>
      <c r="X77" s="91">
        <v>14692161.140000001</v>
      </c>
      <c r="Y77" s="91">
        <v>1183485.3500000001</v>
      </c>
      <c r="Z77" s="91">
        <v>19373422.760000002</v>
      </c>
      <c r="AA77" s="91">
        <v>27416536.949999999</v>
      </c>
      <c r="AB77" s="91"/>
      <c r="AC77" s="91">
        <v>0</v>
      </c>
      <c r="AD77" s="91">
        <v>381563115.16000003</v>
      </c>
      <c r="AE77" s="91">
        <v>4514121054.1700001</v>
      </c>
      <c r="AF77" s="91"/>
      <c r="AG77" s="91">
        <v>33824327.68</v>
      </c>
      <c r="AH77" s="91">
        <v>0</v>
      </c>
      <c r="AI77" s="91">
        <v>5056354.62</v>
      </c>
      <c r="AJ77" s="91">
        <v>469463.77</v>
      </c>
      <c r="AK77" s="91">
        <v>17310016.190000001</v>
      </c>
      <c r="AL77" s="91">
        <v>34976115.670000002</v>
      </c>
      <c r="AM77" s="91">
        <v>718101402.41999996</v>
      </c>
      <c r="AN77" s="91">
        <v>50828607.660000011</v>
      </c>
      <c r="AO77" s="91">
        <v>606077.25</v>
      </c>
      <c r="AP77" s="91">
        <v>1322826.77</v>
      </c>
      <c r="AQ77" s="91">
        <v>17398955.5</v>
      </c>
      <c r="AR77" s="91">
        <v>1052698.79</v>
      </c>
      <c r="AS77" s="91">
        <v>2029572.73</v>
      </c>
      <c r="AT77" s="91">
        <v>6952617493.0900002</v>
      </c>
      <c r="AU77" s="90" t="s">
        <v>344</v>
      </c>
      <c r="AV77" s="253"/>
      <c r="AW77" s="263"/>
    </row>
    <row r="78" spans="2:49" x14ac:dyDescent="0.35">
      <c r="B78" s="234"/>
      <c r="C78" s="250" t="s">
        <v>78</v>
      </c>
      <c r="D78" s="88" t="s">
        <v>313</v>
      </c>
      <c r="E78" s="89">
        <v>3031</v>
      </c>
      <c r="F78" s="89"/>
      <c r="G78" s="89"/>
      <c r="H78" s="89">
        <v>13490</v>
      </c>
      <c r="I78" s="89">
        <v>320</v>
      </c>
      <c r="J78" s="89">
        <v>206</v>
      </c>
      <c r="K78" s="89">
        <v>375</v>
      </c>
      <c r="L78" s="89">
        <v>10155</v>
      </c>
      <c r="M78" s="89">
        <v>3633</v>
      </c>
      <c r="N78" s="89">
        <v>4088</v>
      </c>
      <c r="O78" s="89">
        <v>74553</v>
      </c>
      <c r="P78" s="89">
        <v>128032</v>
      </c>
      <c r="Q78" s="89">
        <v>95495</v>
      </c>
      <c r="R78" s="89">
        <v>120856</v>
      </c>
      <c r="S78" s="89">
        <v>29867</v>
      </c>
      <c r="T78" s="89"/>
      <c r="U78" s="89"/>
      <c r="V78" s="89"/>
      <c r="W78" s="89">
        <v>8456</v>
      </c>
      <c r="X78" s="89">
        <v>4853</v>
      </c>
      <c r="Y78" s="89">
        <v>1932</v>
      </c>
      <c r="Z78" s="89">
        <v>4714</v>
      </c>
      <c r="AA78" s="89">
        <v>19400</v>
      </c>
      <c r="AB78" s="89">
        <v>2000</v>
      </c>
      <c r="AC78" s="89">
        <v>0</v>
      </c>
      <c r="AD78" s="89">
        <v>79964</v>
      </c>
      <c r="AE78" s="89">
        <v>1156327</v>
      </c>
      <c r="AF78" s="89"/>
      <c r="AG78" s="89">
        <v>11551</v>
      </c>
      <c r="AH78" s="89">
        <v>0</v>
      </c>
      <c r="AI78" s="89">
        <v>1391</v>
      </c>
      <c r="AJ78" s="89">
        <v>0</v>
      </c>
      <c r="AK78" s="89">
        <v>15064</v>
      </c>
      <c r="AL78" s="89">
        <v>18206</v>
      </c>
      <c r="AM78" s="89">
        <v>205114</v>
      </c>
      <c r="AN78" s="89">
        <v>18802</v>
      </c>
      <c r="AO78" s="89"/>
      <c r="AP78" s="89">
        <v>246</v>
      </c>
      <c r="AQ78" s="89">
        <v>5945</v>
      </c>
      <c r="AR78" s="89">
        <v>1114</v>
      </c>
      <c r="AS78" s="89">
        <v>738</v>
      </c>
      <c r="AT78" s="89">
        <v>2039918</v>
      </c>
      <c r="AU78" s="88" t="s">
        <v>312</v>
      </c>
      <c r="AV78" s="252" t="s">
        <v>94</v>
      </c>
      <c r="AW78" s="263"/>
    </row>
    <row r="79" spans="2:49" x14ac:dyDescent="0.35">
      <c r="B79" s="234"/>
      <c r="C79" s="251"/>
      <c r="D79" s="90" t="s">
        <v>345</v>
      </c>
      <c r="E79" s="91">
        <v>7814897.5199999996</v>
      </c>
      <c r="F79" s="91"/>
      <c r="G79" s="91"/>
      <c r="H79" s="91">
        <v>30524944.829999998</v>
      </c>
      <c r="I79" s="91">
        <v>496956.23</v>
      </c>
      <c r="J79" s="91">
        <v>465010.58</v>
      </c>
      <c r="K79" s="91">
        <v>375284.28</v>
      </c>
      <c r="L79" s="91">
        <v>26224371.370000001</v>
      </c>
      <c r="M79" s="91">
        <v>14206139.359999999</v>
      </c>
      <c r="N79" s="91">
        <v>12987956.51</v>
      </c>
      <c r="O79" s="91">
        <v>66363282.950000003</v>
      </c>
      <c r="P79" s="91">
        <v>328120087.55000001</v>
      </c>
      <c r="Q79" s="91">
        <v>158843298.78999999</v>
      </c>
      <c r="R79" s="91">
        <v>102935746.15000002</v>
      </c>
      <c r="S79" s="91">
        <v>134883213.99000001</v>
      </c>
      <c r="T79" s="91"/>
      <c r="U79" s="91"/>
      <c r="V79" s="91"/>
      <c r="W79" s="91">
        <v>8270360.3899999997</v>
      </c>
      <c r="X79" s="91">
        <v>7483005.1299999999</v>
      </c>
      <c r="Y79" s="91">
        <v>916759.2</v>
      </c>
      <c r="Z79" s="91">
        <v>25013006.190000001</v>
      </c>
      <c r="AA79" s="91">
        <v>52156206.829999998</v>
      </c>
      <c r="AB79" s="91">
        <v>4634620.96</v>
      </c>
      <c r="AC79" s="91">
        <v>0</v>
      </c>
      <c r="AD79" s="91">
        <v>367743994.06</v>
      </c>
      <c r="AE79" s="91">
        <v>5543447045.21</v>
      </c>
      <c r="AF79" s="91"/>
      <c r="AG79" s="91">
        <v>32146019.870000001</v>
      </c>
      <c r="AH79" s="91">
        <v>0</v>
      </c>
      <c r="AI79" s="91">
        <v>3069800.17</v>
      </c>
      <c r="AJ79" s="91">
        <v>0</v>
      </c>
      <c r="AK79" s="91">
        <v>12228889.9</v>
      </c>
      <c r="AL79" s="91">
        <v>33997218.170000002</v>
      </c>
      <c r="AM79" s="91">
        <v>679852586.33000004</v>
      </c>
      <c r="AN79" s="91">
        <v>60594336.559999995</v>
      </c>
      <c r="AO79" s="91"/>
      <c r="AP79" s="91">
        <v>224886</v>
      </c>
      <c r="AQ79" s="91">
        <v>15740156.16</v>
      </c>
      <c r="AR79" s="91">
        <v>2632473.2200000002</v>
      </c>
      <c r="AS79" s="91">
        <v>998167.38</v>
      </c>
      <c r="AT79" s="91">
        <v>7735390721.8400002</v>
      </c>
      <c r="AU79" s="90" t="s">
        <v>344</v>
      </c>
      <c r="AV79" s="253"/>
      <c r="AW79" s="263"/>
    </row>
    <row r="80" spans="2:49" x14ac:dyDescent="0.35">
      <c r="B80" s="234"/>
      <c r="C80" s="250" t="s">
        <v>79</v>
      </c>
      <c r="D80" s="88" t="s">
        <v>313</v>
      </c>
      <c r="E80" s="89">
        <v>1703</v>
      </c>
      <c r="F80" s="89"/>
      <c r="G80" s="89"/>
      <c r="H80" s="89">
        <v>3163</v>
      </c>
      <c r="I80" s="89"/>
      <c r="J80" s="89">
        <v>1256</v>
      </c>
      <c r="K80" s="89">
        <v>145</v>
      </c>
      <c r="L80" s="89">
        <v>7506</v>
      </c>
      <c r="M80" s="89">
        <v>1187</v>
      </c>
      <c r="N80" s="89">
        <v>7231</v>
      </c>
      <c r="O80" s="89">
        <v>66593</v>
      </c>
      <c r="P80" s="89">
        <v>96187</v>
      </c>
      <c r="Q80" s="89">
        <v>113338</v>
      </c>
      <c r="R80" s="89">
        <v>105526</v>
      </c>
      <c r="S80" s="89">
        <v>25985</v>
      </c>
      <c r="T80" s="89"/>
      <c r="U80" s="89">
        <v>22</v>
      </c>
      <c r="V80" s="89"/>
      <c r="W80" s="89">
        <v>7142</v>
      </c>
      <c r="X80" s="89">
        <v>8350</v>
      </c>
      <c r="Y80" s="89">
        <v>160</v>
      </c>
      <c r="Z80" s="89">
        <v>9645</v>
      </c>
      <c r="AA80" s="89">
        <v>9910</v>
      </c>
      <c r="AB80" s="89">
        <v>700</v>
      </c>
      <c r="AC80" s="89">
        <v>190</v>
      </c>
      <c r="AD80" s="89">
        <v>90702</v>
      </c>
      <c r="AE80" s="89">
        <v>1389210</v>
      </c>
      <c r="AF80" s="89"/>
      <c r="AG80" s="89">
        <v>3568</v>
      </c>
      <c r="AH80" s="89">
        <v>0</v>
      </c>
      <c r="AI80" s="89">
        <v>113</v>
      </c>
      <c r="AJ80" s="89">
        <v>0</v>
      </c>
      <c r="AK80" s="89">
        <v>14379</v>
      </c>
      <c r="AL80" s="89">
        <v>13360</v>
      </c>
      <c r="AM80" s="89">
        <v>187942</v>
      </c>
      <c r="AN80" s="89">
        <v>15997</v>
      </c>
      <c r="AO80" s="89"/>
      <c r="AP80" s="89">
        <v>1165</v>
      </c>
      <c r="AQ80" s="89">
        <v>6310</v>
      </c>
      <c r="AR80" s="89">
        <v>844</v>
      </c>
      <c r="AS80" s="89">
        <v>1510</v>
      </c>
      <c r="AT80" s="89">
        <v>2191039</v>
      </c>
      <c r="AU80" s="88" t="s">
        <v>312</v>
      </c>
      <c r="AV80" s="252" t="s">
        <v>95</v>
      </c>
      <c r="AW80" s="263"/>
    </row>
    <row r="81" spans="2:49" x14ac:dyDescent="0.35">
      <c r="B81" s="234"/>
      <c r="C81" s="251"/>
      <c r="D81" s="90" t="s">
        <v>345</v>
      </c>
      <c r="E81" s="91">
        <v>4564939.33</v>
      </c>
      <c r="F81" s="91"/>
      <c r="G81" s="91"/>
      <c r="H81" s="91">
        <v>5754816.1299999999</v>
      </c>
      <c r="I81" s="91"/>
      <c r="J81" s="91">
        <v>3136411.19</v>
      </c>
      <c r="K81" s="91">
        <v>172792.02</v>
      </c>
      <c r="L81" s="91">
        <v>20400039.129999999</v>
      </c>
      <c r="M81" s="91">
        <v>4061030.68</v>
      </c>
      <c r="N81" s="91">
        <v>17022454.07</v>
      </c>
      <c r="O81" s="91">
        <v>80660922.730000004</v>
      </c>
      <c r="P81" s="91">
        <v>300303543.41000003</v>
      </c>
      <c r="Q81" s="91">
        <v>229788349.47</v>
      </c>
      <c r="R81" s="91">
        <v>82529580.180000007</v>
      </c>
      <c r="S81" s="91">
        <v>137343800.03999999</v>
      </c>
      <c r="T81" s="91"/>
      <c r="U81" s="91">
        <v>55220.83</v>
      </c>
      <c r="V81" s="91"/>
      <c r="W81" s="91">
        <v>11443784.109999999</v>
      </c>
      <c r="X81" s="91">
        <v>9643050.3599999994</v>
      </c>
      <c r="Y81" s="91">
        <v>193438.71</v>
      </c>
      <c r="Z81" s="91">
        <v>35969177.630000003</v>
      </c>
      <c r="AA81" s="91">
        <v>23145293.059999999</v>
      </c>
      <c r="AB81" s="91">
        <v>1133495.33</v>
      </c>
      <c r="AC81" s="91">
        <v>95138.04</v>
      </c>
      <c r="AD81" s="91">
        <v>351617796.97000003</v>
      </c>
      <c r="AE81" s="91">
        <v>7153578941.8500004</v>
      </c>
      <c r="AF81" s="91"/>
      <c r="AG81" s="91">
        <v>7218077.0899999999</v>
      </c>
      <c r="AH81" s="91">
        <v>0</v>
      </c>
      <c r="AI81" s="91">
        <v>640396.26</v>
      </c>
      <c r="AJ81" s="91">
        <v>0</v>
      </c>
      <c r="AK81" s="91">
        <v>12560211.49</v>
      </c>
      <c r="AL81" s="91">
        <v>18172686.939999998</v>
      </c>
      <c r="AM81" s="91">
        <v>572376315.61000001</v>
      </c>
      <c r="AN81" s="91">
        <v>56811367.719999999</v>
      </c>
      <c r="AO81" s="91"/>
      <c r="AP81" s="91">
        <v>3489843.37</v>
      </c>
      <c r="AQ81" s="91">
        <v>11551434.949999999</v>
      </c>
      <c r="AR81" s="91">
        <v>2090143.08</v>
      </c>
      <c r="AS81" s="91">
        <v>1953106.84</v>
      </c>
      <c r="AT81" s="91">
        <v>9159477598.6200008</v>
      </c>
      <c r="AU81" s="90" t="s">
        <v>344</v>
      </c>
      <c r="AV81" s="253"/>
      <c r="AW81" s="263"/>
    </row>
    <row r="82" spans="2:49" x14ac:dyDescent="0.35">
      <c r="B82" s="234"/>
      <c r="C82" s="250" t="s">
        <v>80</v>
      </c>
      <c r="D82" s="88" t="s">
        <v>313</v>
      </c>
      <c r="E82" s="89">
        <v>415</v>
      </c>
      <c r="F82" s="89"/>
      <c r="G82" s="89"/>
      <c r="H82" s="89">
        <v>6229</v>
      </c>
      <c r="I82" s="89"/>
      <c r="J82" s="89">
        <v>3192</v>
      </c>
      <c r="K82" s="89">
        <v>0</v>
      </c>
      <c r="L82" s="89">
        <v>7858</v>
      </c>
      <c r="M82" s="89">
        <v>689</v>
      </c>
      <c r="N82" s="89">
        <v>5975</v>
      </c>
      <c r="O82" s="89">
        <v>61949</v>
      </c>
      <c r="P82" s="89">
        <v>101695</v>
      </c>
      <c r="Q82" s="89">
        <v>99147</v>
      </c>
      <c r="R82" s="89">
        <v>106325</v>
      </c>
      <c r="S82" s="89">
        <v>19992</v>
      </c>
      <c r="T82" s="89"/>
      <c r="U82" s="89">
        <v>204</v>
      </c>
      <c r="V82" s="89">
        <v>823</v>
      </c>
      <c r="W82" s="89">
        <v>9550</v>
      </c>
      <c r="X82" s="89">
        <v>7361</v>
      </c>
      <c r="Y82" s="89">
        <v>1584</v>
      </c>
      <c r="Z82" s="89">
        <v>7245</v>
      </c>
      <c r="AA82" s="89">
        <v>4337</v>
      </c>
      <c r="AB82" s="89">
        <v>839</v>
      </c>
      <c r="AC82" s="89">
        <v>0</v>
      </c>
      <c r="AD82" s="89">
        <v>108520</v>
      </c>
      <c r="AE82" s="89">
        <v>1420111</v>
      </c>
      <c r="AF82" s="89"/>
      <c r="AG82" s="89">
        <v>5833</v>
      </c>
      <c r="AH82" s="89">
        <v>0</v>
      </c>
      <c r="AI82" s="89">
        <v>470</v>
      </c>
      <c r="AJ82" s="89">
        <v>485</v>
      </c>
      <c r="AK82" s="89">
        <v>19239</v>
      </c>
      <c r="AL82" s="89">
        <v>17669</v>
      </c>
      <c r="AM82" s="89">
        <v>194233</v>
      </c>
      <c r="AN82" s="89">
        <v>17313</v>
      </c>
      <c r="AO82" s="89">
        <v>288</v>
      </c>
      <c r="AP82" s="89">
        <v>1494</v>
      </c>
      <c r="AQ82" s="89">
        <v>5370</v>
      </c>
      <c r="AR82" s="89">
        <v>281</v>
      </c>
      <c r="AS82" s="89">
        <v>843</v>
      </c>
      <c r="AT82" s="89">
        <v>2237558</v>
      </c>
      <c r="AU82" s="88" t="s">
        <v>312</v>
      </c>
      <c r="AV82" s="252" t="s">
        <v>96</v>
      </c>
      <c r="AW82" s="263"/>
    </row>
    <row r="83" spans="2:49" x14ac:dyDescent="0.35">
      <c r="B83" s="234"/>
      <c r="C83" s="251"/>
      <c r="D83" s="90" t="s">
        <v>345</v>
      </c>
      <c r="E83" s="91">
        <v>773543.19</v>
      </c>
      <c r="F83" s="91"/>
      <c r="G83" s="91"/>
      <c r="H83" s="91">
        <v>9630294.7799999993</v>
      </c>
      <c r="I83" s="91"/>
      <c r="J83" s="91">
        <v>4347779.1100000003</v>
      </c>
      <c r="K83" s="91">
        <v>0</v>
      </c>
      <c r="L83" s="91">
        <v>20278317.5</v>
      </c>
      <c r="M83" s="91">
        <v>2689757.15</v>
      </c>
      <c r="N83" s="91">
        <v>20301603.530000001</v>
      </c>
      <c r="O83" s="91">
        <v>70893239.519999996</v>
      </c>
      <c r="P83" s="91">
        <v>365324540.94999999</v>
      </c>
      <c r="Q83" s="91">
        <v>245596055.09999999</v>
      </c>
      <c r="R83" s="91">
        <v>182382503.79000002</v>
      </c>
      <c r="S83" s="91">
        <v>93082466.420000002</v>
      </c>
      <c r="T83" s="91"/>
      <c r="U83" s="91">
        <v>875396.67</v>
      </c>
      <c r="V83" s="91">
        <v>1109465.1000000001</v>
      </c>
      <c r="W83" s="91">
        <v>18290791.57</v>
      </c>
      <c r="X83" s="91">
        <v>14585194.35</v>
      </c>
      <c r="Y83" s="91">
        <v>1838470.81</v>
      </c>
      <c r="Z83" s="91">
        <v>12490287.300000001</v>
      </c>
      <c r="AA83" s="91">
        <v>8035659.21</v>
      </c>
      <c r="AB83" s="91">
        <v>1717337.51</v>
      </c>
      <c r="AC83" s="91">
        <v>0</v>
      </c>
      <c r="AD83" s="91">
        <v>476413304.72000003</v>
      </c>
      <c r="AE83" s="91">
        <v>7423749310.6499996</v>
      </c>
      <c r="AF83" s="91"/>
      <c r="AG83" s="91">
        <v>10998376.1</v>
      </c>
      <c r="AH83" s="91">
        <v>0</v>
      </c>
      <c r="AI83" s="91">
        <v>2278616.87</v>
      </c>
      <c r="AJ83" s="91">
        <v>840591.62</v>
      </c>
      <c r="AK83" s="91">
        <v>16487109.039999999</v>
      </c>
      <c r="AL83" s="91">
        <v>25491373.310000002</v>
      </c>
      <c r="AM83" s="91">
        <v>654801299.16999996</v>
      </c>
      <c r="AN83" s="91">
        <v>87272858.550000012</v>
      </c>
      <c r="AO83" s="91">
        <v>319100.03000000003</v>
      </c>
      <c r="AP83" s="91">
        <v>5927237.0300000003</v>
      </c>
      <c r="AQ83" s="91">
        <v>9806781.7799999993</v>
      </c>
      <c r="AR83" s="91">
        <v>301823.89</v>
      </c>
      <c r="AS83" s="91">
        <v>1116912.43</v>
      </c>
      <c r="AT83" s="91">
        <v>9790047398.75</v>
      </c>
      <c r="AU83" s="90" t="s">
        <v>344</v>
      </c>
      <c r="AV83" s="253"/>
      <c r="AW83" s="263"/>
    </row>
    <row r="84" spans="2:49" x14ac:dyDescent="0.35">
      <c r="B84" s="234"/>
      <c r="C84" s="250" t="s">
        <v>81</v>
      </c>
      <c r="D84" s="88" t="s">
        <v>313</v>
      </c>
      <c r="E84" s="89">
        <v>2</v>
      </c>
      <c r="F84" s="89"/>
      <c r="G84" s="89"/>
      <c r="H84" s="89">
        <v>11675</v>
      </c>
      <c r="I84" s="89"/>
      <c r="J84" s="89">
        <v>4224</v>
      </c>
      <c r="K84" s="89">
        <v>562</v>
      </c>
      <c r="L84" s="89">
        <v>7156</v>
      </c>
      <c r="M84" s="89">
        <v>3707</v>
      </c>
      <c r="N84" s="89">
        <v>10553</v>
      </c>
      <c r="O84" s="89">
        <v>137628</v>
      </c>
      <c r="P84" s="89">
        <v>111505</v>
      </c>
      <c r="Q84" s="89">
        <v>156839</v>
      </c>
      <c r="R84" s="89">
        <v>119771</v>
      </c>
      <c r="S84" s="89">
        <v>23290</v>
      </c>
      <c r="T84" s="89"/>
      <c r="U84" s="89"/>
      <c r="V84" s="89">
        <v>1424</v>
      </c>
      <c r="W84" s="89">
        <v>17423</v>
      </c>
      <c r="X84" s="89">
        <v>8968</v>
      </c>
      <c r="Y84" s="89"/>
      <c r="Z84" s="89">
        <v>18410</v>
      </c>
      <c r="AA84" s="89">
        <v>7539</v>
      </c>
      <c r="AB84" s="89">
        <v>4398</v>
      </c>
      <c r="AC84" s="89">
        <v>0</v>
      </c>
      <c r="AD84" s="89">
        <v>181472</v>
      </c>
      <c r="AE84" s="89">
        <v>1666951</v>
      </c>
      <c r="AF84" s="89"/>
      <c r="AG84" s="89">
        <v>11655</v>
      </c>
      <c r="AH84" s="89">
        <v>2279</v>
      </c>
      <c r="AI84" s="89">
        <v>2308</v>
      </c>
      <c r="AJ84" s="89">
        <v>2095</v>
      </c>
      <c r="AK84" s="89">
        <v>17273</v>
      </c>
      <c r="AL84" s="89">
        <v>13317</v>
      </c>
      <c r="AM84" s="89">
        <v>296619</v>
      </c>
      <c r="AN84" s="89">
        <v>46029</v>
      </c>
      <c r="AO84" s="89"/>
      <c r="AP84" s="89">
        <v>954</v>
      </c>
      <c r="AQ84" s="89">
        <v>14435</v>
      </c>
      <c r="AR84" s="89"/>
      <c r="AS84" s="89">
        <v>2328</v>
      </c>
      <c r="AT84" s="89">
        <v>2902789</v>
      </c>
      <c r="AU84" s="88" t="s">
        <v>312</v>
      </c>
      <c r="AV84" s="252" t="s">
        <v>97</v>
      </c>
      <c r="AW84" s="263"/>
    </row>
    <row r="85" spans="2:49" x14ac:dyDescent="0.35">
      <c r="B85" s="235"/>
      <c r="C85" s="251"/>
      <c r="D85" s="90" t="s">
        <v>345</v>
      </c>
      <c r="E85" s="91">
        <v>3456.77</v>
      </c>
      <c r="F85" s="91"/>
      <c r="G85" s="91"/>
      <c r="H85" s="91">
        <v>19277142.699999999</v>
      </c>
      <c r="I85" s="91"/>
      <c r="J85" s="91">
        <v>6810741.0599999996</v>
      </c>
      <c r="K85" s="91">
        <v>703311.4</v>
      </c>
      <c r="L85" s="91">
        <v>17128575.489999998</v>
      </c>
      <c r="M85" s="91">
        <v>11516695.18</v>
      </c>
      <c r="N85" s="91">
        <v>18256255.609999999</v>
      </c>
      <c r="O85" s="91">
        <v>177600866.40000001</v>
      </c>
      <c r="P85" s="91">
        <v>182284307.81999999</v>
      </c>
      <c r="Q85" s="91">
        <v>249371728.88999999</v>
      </c>
      <c r="R85" s="91">
        <v>117753589.69000001</v>
      </c>
      <c r="S85" s="91">
        <v>78485969.980000004</v>
      </c>
      <c r="T85" s="91"/>
      <c r="U85" s="91"/>
      <c r="V85" s="91">
        <v>2549193.21</v>
      </c>
      <c r="W85" s="91">
        <v>13240895.789999999</v>
      </c>
      <c r="X85" s="91">
        <v>12736714.23</v>
      </c>
      <c r="Y85" s="91"/>
      <c r="Z85" s="91">
        <v>35293716.149999999</v>
      </c>
      <c r="AA85" s="91">
        <v>11517367.119999999</v>
      </c>
      <c r="AB85" s="91">
        <v>6768969.1600000001</v>
      </c>
      <c r="AC85" s="91">
        <v>0</v>
      </c>
      <c r="AD85" s="91">
        <v>640151336.97000003</v>
      </c>
      <c r="AE85" s="91">
        <v>8039690867.5600004</v>
      </c>
      <c r="AF85" s="91"/>
      <c r="AG85" s="91">
        <v>17204682.370000001</v>
      </c>
      <c r="AH85" s="91">
        <v>5578033.4800000004</v>
      </c>
      <c r="AI85" s="91">
        <v>3222180.76</v>
      </c>
      <c r="AJ85" s="91">
        <v>3039694.86</v>
      </c>
      <c r="AK85" s="91">
        <v>9068849.2200000007</v>
      </c>
      <c r="AL85" s="91">
        <v>16588619.52</v>
      </c>
      <c r="AM85" s="91">
        <v>782899487.23000002</v>
      </c>
      <c r="AN85" s="91">
        <v>107376384.85000004</v>
      </c>
      <c r="AO85" s="91"/>
      <c r="AP85" s="91">
        <v>2974621.33</v>
      </c>
      <c r="AQ85" s="91">
        <v>34476791.039999999</v>
      </c>
      <c r="AR85" s="91"/>
      <c r="AS85" s="91">
        <v>5630171.8300000001</v>
      </c>
      <c r="AT85" s="91">
        <v>10629201217.67</v>
      </c>
      <c r="AU85" s="90" t="s">
        <v>344</v>
      </c>
      <c r="AV85" s="253"/>
      <c r="AW85" s="264"/>
    </row>
    <row r="86" spans="2:49" x14ac:dyDescent="0.35">
      <c r="B86" s="254" t="s">
        <v>82</v>
      </c>
      <c r="C86" s="255"/>
      <c r="D86" s="92" t="s">
        <v>313</v>
      </c>
      <c r="E86" s="93">
        <v>16257</v>
      </c>
      <c r="F86" s="93"/>
      <c r="G86" s="93"/>
      <c r="H86" s="93">
        <v>85627</v>
      </c>
      <c r="I86" s="93">
        <v>3795</v>
      </c>
      <c r="J86" s="93">
        <v>34974</v>
      </c>
      <c r="K86" s="93">
        <v>1857</v>
      </c>
      <c r="L86" s="93">
        <v>84075</v>
      </c>
      <c r="M86" s="93">
        <v>29320</v>
      </c>
      <c r="N86" s="93">
        <v>73510</v>
      </c>
      <c r="O86" s="93">
        <v>1171749</v>
      </c>
      <c r="P86" s="93">
        <v>1470378</v>
      </c>
      <c r="Q86" s="93">
        <v>1474085</v>
      </c>
      <c r="R86" s="93">
        <v>1551152</v>
      </c>
      <c r="S86" s="93">
        <v>357820</v>
      </c>
      <c r="T86" s="93"/>
      <c r="U86" s="93">
        <v>7158</v>
      </c>
      <c r="V86" s="93">
        <v>7692</v>
      </c>
      <c r="W86" s="93">
        <v>109606</v>
      </c>
      <c r="X86" s="93">
        <v>80361</v>
      </c>
      <c r="Y86" s="93">
        <v>6741</v>
      </c>
      <c r="Z86" s="93">
        <v>112698</v>
      </c>
      <c r="AA86" s="93">
        <v>185994</v>
      </c>
      <c r="AB86" s="93">
        <v>20759</v>
      </c>
      <c r="AC86" s="93">
        <v>1617</v>
      </c>
      <c r="AD86" s="93">
        <v>1555359</v>
      </c>
      <c r="AE86" s="93">
        <v>15377990</v>
      </c>
      <c r="AF86" s="93">
        <v>67</v>
      </c>
      <c r="AG86" s="93">
        <v>75401</v>
      </c>
      <c r="AH86" s="93">
        <v>5757</v>
      </c>
      <c r="AI86" s="93">
        <v>13709</v>
      </c>
      <c r="AJ86" s="93">
        <v>3681</v>
      </c>
      <c r="AK86" s="93">
        <v>172949</v>
      </c>
      <c r="AL86" s="93">
        <v>183292</v>
      </c>
      <c r="AM86" s="93">
        <v>2773676</v>
      </c>
      <c r="AN86" s="93">
        <v>236381</v>
      </c>
      <c r="AO86" s="93">
        <v>2861</v>
      </c>
      <c r="AP86" s="93">
        <v>11597</v>
      </c>
      <c r="AQ86" s="93">
        <v>105870</v>
      </c>
      <c r="AR86" s="93">
        <v>7162</v>
      </c>
      <c r="AS86" s="93">
        <v>10559</v>
      </c>
      <c r="AT86" s="93">
        <v>27423536</v>
      </c>
      <c r="AU86" s="92" t="s">
        <v>312</v>
      </c>
      <c r="AV86" s="258" t="s">
        <v>98</v>
      </c>
      <c r="AW86" s="259"/>
    </row>
    <row r="87" spans="2:49" x14ac:dyDescent="0.35">
      <c r="B87" s="256"/>
      <c r="C87" s="257"/>
      <c r="D87" s="94" t="s">
        <v>345</v>
      </c>
      <c r="E87" s="95">
        <v>43307210.82</v>
      </c>
      <c r="F87" s="95"/>
      <c r="G87" s="95"/>
      <c r="H87" s="95">
        <v>190811469.99000001</v>
      </c>
      <c r="I87" s="95">
        <v>4846510.53</v>
      </c>
      <c r="J87" s="95">
        <v>90349088.450000003</v>
      </c>
      <c r="K87" s="95">
        <v>2305924.5100000002</v>
      </c>
      <c r="L87" s="95">
        <v>273503003.12</v>
      </c>
      <c r="M87" s="95">
        <v>153730748.83000001</v>
      </c>
      <c r="N87" s="95">
        <v>395837837.70999998</v>
      </c>
      <c r="O87" s="95">
        <v>1367665974.21</v>
      </c>
      <c r="P87" s="95">
        <v>4864437364.5200005</v>
      </c>
      <c r="Q87" s="95">
        <v>3034175407.8600001</v>
      </c>
      <c r="R87" s="95">
        <v>1771067865.03</v>
      </c>
      <c r="S87" s="95">
        <v>2273068408.5599999</v>
      </c>
      <c r="T87" s="95"/>
      <c r="U87" s="95">
        <v>25618258.120000001</v>
      </c>
      <c r="V87" s="95">
        <v>20373592.940000001</v>
      </c>
      <c r="W87" s="95">
        <v>254684345.58000001</v>
      </c>
      <c r="X87" s="95">
        <v>171283584.09</v>
      </c>
      <c r="Y87" s="95">
        <v>11562561.869999999</v>
      </c>
      <c r="Z87" s="95">
        <v>463380168.62</v>
      </c>
      <c r="AA87" s="95">
        <v>824103230.98000002</v>
      </c>
      <c r="AB87" s="95">
        <v>47563377.619999997</v>
      </c>
      <c r="AC87" s="95">
        <v>2432954.3000000003</v>
      </c>
      <c r="AD87" s="95">
        <v>9283568253.4300003</v>
      </c>
      <c r="AE87" s="95">
        <v>101976623850.64999</v>
      </c>
      <c r="AF87" s="95">
        <v>329712.61</v>
      </c>
      <c r="AG87" s="95">
        <v>205236194.34</v>
      </c>
      <c r="AH87" s="95">
        <v>21480550.829999998</v>
      </c>
      <c r="AI87" s="95">
        <v>36933499.649999999</v>
      </c>
      <c r="AJ87" s="95">
        <v>5277083.74</v>
      </c>
      <c r="AK87" s="95">
        <v>213896489.59999999</v>
      </c>
      <c r="AL87" s="95">
        <v>321643311.09000003</v>
      </c>
      <c r="AM87" s="95">
        <v>11759001497.139999</v>
      </c>
      <c r="AN87" s="95">
        <v>782558718.75</v>
      </c>
      <c r="AO87" s="95">
        <v>10114103.710000001</v>
      </c>
      <c r="AP87" s="95">
        <v>32187167.120000001</v>
      </c>
      <c r="AQ87" s="95">
        <v>258911194.88</v>
      </c>
      <c r="AR87" s="95">
        <v>17457986.550000001</v>
      </c>
      <c r="AS87" s="95">
        <v>22650315.739999998</v>
      </c>
      <c r="AT87" s="95">
        <v>141233978818.09</v>
      </c>
      <c r="AU87" s="94" t="s">
        <v>344</v>
      </c>
      <c r="AV87" s="260"/>
      <c r="AW87" s="261"/>
    </row>
    <row r="88" spans="2:49" x14ac:dyDescent="0.35">
      <c r="B88" s="233">
        <v>2024</v>
      </c>
      <c r="C88" s="250" t="s">
        <v>70</v>
      </c>
      <c r="D88" s="88" t="s">
        <v>313</v>
      </c>
      <c r="E88" s="89"/>
      <c r="F88" s="89"/>
      <c r="G88" s="89"/>
      <c r="H88" s="89">
        <v>6732</v>
      </c>
      <c r="I88" s="89"/>
      <c r="J88" s="89">
        <v>8076</v>
      </c>
      <c r="K88" s="89"/>
      <c r="L88" s="89">
        <v>10996</v>
      </c>
      <c r="M88" s="89">
        <v>3518</v>
      </c>
      <c r="N88" s="89">
        <v>5996</v>
      </c>
      <c r="O88" s="89">
        <v>148697</v>
      </c>
      <c r="P88" s="89">
        <v>143693</v>
      </c>
      <c r="Q88" s="89">
        <v>184318</v>
      </c>
      <c r="R88" s="89">
        <v>225883</v>
      </c>
      <c r="S88" s="89">
        <v>25979</v>
      </c>
      <c r="T88" s="89"/>
      <c r="U88" s="89">
        <v>332</v>
      </c>
      <c r="V88" s="89"/>
      <c r="W88" s="89">
        <v>11479</v>
      </c>
      <c r="X88" s="89">
        <v>4828</v>
      </c>
      <c r="Y88" s="89">
        <v>3246</v>
      </c>
      <c r="Z88" s="89">
        <v>16225</v>
      </c>
      <c r="AA88" s="89">
        <v>14153</v>
      </c>
      <c r="AB88" s="89">
        <v>6556</v>
      </c>
      <c r="AC88" s="89">
        <v>0</v>
      </c>
      <c r="AD88" s="89">
        <v>154688</v>
      </c>
      <c r="AE88" s="89">
        <v>1718750</v>
      </c>
      <c r="AF88" s="89"/>
      <c r="AG88" s="89">
        <v>7308</v>
      </c>
      <c r="AH88" s="89"/>
      <c r="AI88" s="89">
        <v>1440</v>
      </c>
      <c r="AJ88" s="89"/>
      <c r="AK88" s="89">
        <v>45655</v>
      </c>
      <c r="AL88" s="89">
        <v>48368</v>
      </c>
      <c r="AM88" s="89">
        <v>295160</v>
      </c>
      <c r="AN88" s="89">
        <v>25344</v>
      </c>
      <c r="AO88" s="89">
        <v>388</v>
      </c>
      <c r="AP88" s="89">
        <v>1299</v>
      </c>
      <c r="AQ88" s="89">
        <v>12880</v>
      </c>
      <c r="AR88" s="89"/>
      <c r="AS88" s="89">
        <v>2766</v>
      </c>
      <c r="AT88" s="89">
        <v>3134753</v>
      </c>
      <c r="AU88" s="88" t="s">
        <v>312</v>
      </c>
      <c r="AV88" s="252" t="s">
        <v>86</v>
      </c>
      <c r="AW88" s="262">
        <v>2024</v>
      </c>
    </row>
    <row r="89" spans="2:49" x14ac:dyDescent="0.35">
      <c r="B89" s="234"/>
      <c r="C89" s="251"/>
      <c r="D89" s="90" t="s">
        <v>345</v>
      </c>
      <c r="E89" s="91"/>
      <c r="F89" s="91"/>
      <c r="G89" s="91"/>
      <c r="H89" s="91">
        <v>10849976.970000001</v>
      </c>
      <c r="I89" s="91"/>
      <c r="J89" s="91">
        <v>13582350.68</v>
      </c>
      <c r="K89" s="91"/>
      <c r="L89" s="91">
        <v>24026924.07</v>
      </c>
      <c r="M89" s="91">
        <v>17310581.030000001</v>
      </c>
      <c r="N89" s="91">
        <v>19469711.059999999</v>
      </c>
      <c r="O89" s="91">
        <v>137656949.81</v>
      </c>
      <c r="P89" s="91">
        <v>377647107.13999999</v>
      </c>
      <c r="Q89" s="91">
        <v>333120388.97000003</v>
      </c>
      <c r="R89" s="91">
        <v>243672657.03</v>
      </c>
      <c r="S89" s="91">
        <v>90398553.569999993</v>
      </c>
      <c r="T89" s="91"/>
      <c r="U89" s="91">
        <v>901912.11</v>
      </c>
      <c r="V89" s="91"/>
      <c r="W89" s="91">
        <v>21738653.690000001</v>
      </c>
      <c r="X89" s="91">
        <v>6942073.2999999998</v>
      </c>
      <c r="Y89" s="91">
        <v>4531299.58</v>
      </c>
      <c r="Z89" s="91">
        <v>35009231.539999999</v>
      </c>
      <c r="AA89" s="91">
        <v>24516244.210000001</v>
      </c>
      <c r="AB89" s="91">
        <v>8367587.8499999996</v>
      </c>
      <c r="AC89" s="91">
        <v>0</v>
      </c>
      <c r="AD89" s="91">
        <v>767587716.98000002</v>
      </c>
      <c r="AE89" s="91">
        <v>9316807086.5</v>
      </c>
      <c r="AF89" s="91"/>
      <c r="AG89" s="91">
        <v>15673625.26</v>
      </c>
      <c r="AH89" s="91"/>
      <c r="AI89" s="91">
        <v>825181.29</v>
      </c>
      <c r="AJ89" s="91"/>
      <c r="AK89" s="91">
        <v>34217048.109999999</v>
      </c>
      <c r="AL89" s="91">
        <v>51685827.399999999</v>
      </c>
      <c r="AM89" s="91">
        <v>720928779.33000004</v>
      </c>
      <c r="AN89" s="91">
        <v>40164253.119999997</v>
      </c>
      <c r="AO89" s="91">
        <v>966847.05</v>
      </c>
      <c r="AP89" s="91">
        <v>5326230.62</v>
      </c>
      <c r="AQ89" s="91">
        <v>34075730.909999996</v>
      </c>
      <c r="AR89" s="91"/>
      <c r="AS89" s="91">
        <v>4917927.66</v>
      </c>
      <c r="AT89" s="91">
        <v>12362918456.84</v>
      </c>
      <c r="AU89" s="90" t="s">
        <v>344</v>
      </c>
      <c r="AV89" s="253"/>
      <c r="AW89" s="263"/>
    </row>
    <row r="90" spans="2:49" x14ac:dyDescent="0.35">
      <c r="B90" s="234"/>
      <c r="C90" s="250" t="s">
        <v>71</v>
      </c>
      <c r="D90" s="88" t="s">
        <v>313</v>
      </c>
      <c r="E90" s="89">
        <v>1066</v>
      </c>
      <c r="F90" s="89"/>
      <c r="G90" s="89"/>
      <c r="H90" s="89">
        <v>18097</v>
      </c>
      <c r="I90" s="89"/>
      <c r="J90" s="89">
        <v>2502</v>
      </c>
      <c r="K90" s="89"/>
      <c r="L90" s="89">
        <v>8436</v>
      </c>
      <c r="M90" s="89">
        <v>1534</v>
      </c>
      <c r="N90" s="89">
        <v>4586</v>
      </c>
      <c r="O90" s="89">
        <v>95422</v>
      </c>
      <c r="P90" s="89">
        <v>157067</v>
      </c>
      <c r="Q90" s="89">
        <v>153215</v>
      </c>
      <c r="R90" s="89">
        <v>199061</v>
      </c>
      <c r="S90" s="89">
        <v>21718</v>
      </c>
      <c r="T90" s="89"/>
      <c r="U90" s="89"/>
      <c r="V90" s="89">
        <v>262</v>
      </c>
      <c r="W90" s="89">
        <v>10137</v>
      </c>
      <c r="X90" s="89">
        <v>3764</v>
      </c>
      <c r="Y90" s="89"/>
      <c r="Z90" s="89">
        <v>5774</v>
      </c>
      <c r="AA90" s="89">
        <v>9072</v>
      </c>
      <c r="AB90" s="89">
        <v>1348</v>
      </c>
      <c r="AC90" s="89">
        <v>0</v>
      </c>
      <c r="AD90" s="89">
        <v>159267</v>
      </c>
      <c r="AE90" s="89">
        <v>1896199</v>
      </c>
      <c r="AF90" s="89"/>
      <c r="AG90" s="89">
        <v>1757</v>
      </c>
      <c r="AH90" s="89"/>
      <c r="AI90" s="89">
        <v>2910</v>
      </c>
      <c r="AJ90" s="89"/>
      <c r="AK90" s="89">
        <v>21799</v>
      </c>
      <c r="AL90" s="89">
        <v>20130</v>
      </c>
      <c r="AM90" s="89">
        <v>284747</v>
      </c>
      <c r="AN90" s="89">
        <v>17710</v>
      </c>
      <c r="AO90" s="89"/>
      <c r="AP90" s="89">
        <v>1861</v>
      </c>
      <c r="AQ90" s="89">
        <v>9756</v>
      </c>
      <c r="AR90" s="89"/>
      <c r="AS90" s="89">
        <v>1988</v>
      </c>
      <c r="AT90" s="89">
        <v>3111185</v>
      </c>
      <c r="AU90" s="88" t="s">
        <v>312</v>
      </c>
      <c r="AV90" s="252" t="s">
        <v>87</v>
      </c>
      <c r="AW90" s="263"/>
    </row>
    <row r="91" spans="2:49" x14ac:dyDescent="0.35">
      <c r="B91" s="234"/>
      <c r="C91" s="251"/>
      <c r="D91" s="90" t="s">
        <v>345</v>
      </c>
      <c r="E91" s="91">
        <v>1833304.78</v>
      </c>
      <c r="F91" s="91"/>
      <c r="G91" s="91"/>
      <c r="H91" s="91">
        <v>41494796.600000001</v>
      </c>
      <c r="I91" s="91"/>
      <c r="J91" s="91">
        <v>4925612.1100000003</v>
      </c>
      <c r="K91" s="91"/>
      <c r="L91" s="91">
        <v>23532997.239999998</v>
      </c>
      <c r="M91" s="91">
        <v>7804610.4199999999</v>
      </c>
      <c r="N91" s="91">
        <v>12632648.869999999</v>
      </c>
      <c r="O91" s="91">
        <v>132109369.59</v>
      </c>
      <c r="P91" s="91">
        <v>329239205.76999998</v>
      </c>
      <c r="Q91" s="91">
        <v>211977597.31999999</v>
      </c>
      <c r="R91" s="91">
        <v>198299433.87</v>
      </c>
      <c r="S91" s="91">
        <v>93973752.379999995</v>
      </c>
      <c r="T91" s="91"/>
      <c r="U91" s="91"/>
      <c r="V91" s="91">
        <v>114718.74</v>
      </c>
      <c r="W91" s="91">
        <v>11117761.51</v>
      </c>
      <c r="X91" s="91">
        <v>7754914.4900000002</v>
      </c>
      <c r="Y91" s="91"/>
      <c r="Z91" s="91">
        <v>14907856.15</v>
      </c>
      <c r="AA91" s="91">
        <v>16075762.43</v>
      </c>
      <c r="AB91" s="91">
        <v>2952103.87</v>
      </c>
      <c r="AC91" s="91">
        <v>0</v>
      </c>
      <c r="AD91" s="91">
        <v>802902513.03999996</v>
      </c>
      <c r="AE91" s="91">
        <v>12861173718.1</v>
      </c>
      <c r="AF91" s="91"/>
      <c r="AG91" s="91">
        <v>2336751.71</v>
      </c>
      <c r="AH91" s="91"/>
      <c r="AI91" s="91">
        <v>4945721.16</v>
      </c>
      <c r="AJ91" s="91"/>
      <c r="AK91" s="91">
        <v>19098175.27</v>
      </c>
      <c r="AL91" s="91">
        <v>37865432.100000001</v>
      </c>
      <c r="AM91" s="91">
        <v>1000449932.11</v>
      </c>
      <c r="AN91" s="91">
        <v>32271836.190000001</v>
      </c>
      <c r="AO91" s="91"/>
      <c r="AP91" s="91">
        <v>6823363.5800000001</v>
      </c>
      <c r="AQ91" s="91">
        <v>26394925.640000001</v>
      </c>
      <c r="AR91" s="91"/>
      <c r="AS91" s="91">
        <v>2055801.26</v>
      </c>
      <c r="AT91" s="91">
        <v>15907064616.299999</v>
      </c>
      <c r="AU91" s="90" t="s">
        <v>344</v>
      </c>
      <c r="AV91" s="253"/>
      <c r="AW91" s="263"/>
    </row>
    <row r="92" spans="2:49" x14ac:dyDescent="0.35">
      <c r="B92" s="234"/>
      <c r="C92" s="250" t="s">
        <v>72</v>
      </c>
      <c r="D92" s="88" t="s">
        <v>313</v>
      </c>
      <c r="E92" s="89"/>
      <c r="F92" s="89"/>
      <c r="G92" s="89"/>
      <c r="H92" s="89">
        <v>11446</v>
      </c>
      <c r="I92" s="89"/>
      <c r="J92" s="89"/>
      <c r="K92" s="89"/>
      <c r="L92" s="89">
        <v>5348</v>
      </c>
      <c r="M92" s="89">
        <v>5538</v>
      </c>
      <c r="N92" s="89">
        <v>2731</v>
      </c>
      <c r="O92" s="89">
        <v>109385</v>
      </c>
      <c r="P92" s="89">
        <v>106257</v>
      </c>
      <c r="Q92" s="89">
        <v>125840</v>
      </c>
      <c r="R92" s="89">
        <v>104004</v>
      </c>
      <c r="S92" s="89">
        <v>33639</v>
      </c>
      <c r="T92" s="89"/>
      <c r="U92" s="89"/>
      <c r="V92" s="89"/>
      <c r="W92" s="89">
        <v>13804</v>
      </c>
      <c r="X92" s="89">
        <v>5785</v>
      </c>
      <c r="Y92" s="89">
        <v>1157</v>
      </c>
      <c r="Z92" s="89">
        <v>19216</v>
      </c>
      <c r="AA92" s="89">
        <v>17129</v>
      </c>
      <c r="AB92" s="89">
        <v>2022</v>
      </c>
      <c r="AC92" s="89">
        <v>0</v>
      </c>
      <c r="AD92" s="89">
        <v>177857</v>
      </c>
      <c r="AE92" s="89">
        <v>2210157</v>
      </c>
      <c r="AF92" s="89"/>
      <c r="AG92" s="89"/>
      <c r="AH92" s="89">
        <v>83</v>
      </c>
      <c r="AI92" s="89">
        <v>779</v>
      </c>
      <c r="AJ92" s="89"/>
      <c r="AK92" s="89">
        <v>19249</v>
      </c>
      <c r="AL92" s="89">
        <v>15897</v>
      </c>
      <c r="AM92" s="89">
        <v>146778</v>
      </c>
      <c r="AN92" s="89">
        <v>22492</v>
      </c>
      <c r="AO92" s="89"/>
      <c r="AP92" s="89"/>
      <c r="AQ92" s="89">
        <v>4374</v>
      </c>
      <c r="AR92" s="89"/>
      <c r="AS92" s="89"/>
      <c r="AT92" s="89">
        <v>3160967</v>
      </c>
      <c r="AU92" s="88" t="s">
        <v>312</v>
      </c>
      <c r="AV92" s="252" t="s">
        <v>88</v>
      </c>
      <c r="AW92" s="263"/>
    </row>
    <row r="93" spans="2:49" x14ac:dyDescent="0.35">
      <c r="B93" s="234"/>
      <c r="C93" s="251"/>
      <c r="D93" s="90" t="s">
        <v>345</v>
      </c>
      <c r="E93" s="91"/>
      <c r="F93" s="91"/>
      <c r="G93" s="91"/>
      <c r="H93" s="91">
        <v>35121709.509999998</v>
      </c>
      <c r="I93" s="91"/>
      <c r="J93" s="91"/>
      <c r="K93" s="91"/>
      <c r="L93" s="91">
        <v>24240240.84</v>
      </c>
      <c r="M93" s="91">
        <v>22306560.420000002</v>
      </c>
      <c r="N93" s="91">
        <v>9970963.4700000007</v>
      </c>
      <c r="O93" s="91">
        <v>128425872.43000001</v>
      </c>
      <c r="P93" s="91">
        <v>358942304.12</v>
      </c>
      <c r="Q93" s="91">
        <v>192014912.03</v>
      </c>
      <c r="R93" s="91">
        <v>97786062.120000005</v>
      </c>
      <c r="S93" s="91">
        <v>128059533.89</v>
      </c>
      <c r="T93" s="91"/>
      <c r="U93" s="91"/>
      <c r="V93" s="91"/>
      <c r="W93" s="91">
        <v>17234003.129999999</v>
      </c>
      <c r="X93" s="91">
        <v>11947321.92</v>
      </c>
      <c r="Y93" s="91">
        <v>1382402.72</v>
      </c>
      <c r="Z93" s="91">
        <v>44955345.789999999</v>
      </c>
      <c r="AA93" s="91">
        <v>29119254.82</v>
      </c>
      <c r="AB93" s="91">
        <v>4989783.51</v>
      </c>
      <c r="AC93" s="91">
        <v>0</v>
      </c>
      <c r="AD93" s="91">
        <v>851576044.99000001</v>
      </c>
      <c r="AE93" s="91">
        <v>15131425731.889999</v>
      </c>
      <c r="AF93" s="91"/>
      <c r="AG93" s="91"/>
      <c r="AH93" s="91">
        <v>95496.74</v>
      </c>
      <c r="AI93" s="91">
        <v>455269.14</v>
      </c>
      <c r="AJ93" s="91"/>
      <c r="AK93" s="91">
        <v>18840149.07</v>
      </c>
      <c r="AL93" s="91">
        <v>32559891.899999999</v>
      </c>
      <c r="AM93" s="91">
        <v>333407996.38</v>
      </c>
      <c r="AN93" s="91">
        <v>28261632.23</v>
      </c>
      <c r="AO93" s="91"/>
      <c r="AP93" s="91"/>
      <c r="AQ93" s="91">
        <v>19783960.719999999</v>
      </c>
      <c r="AR93" s="91"/>
      <c r="AS93" s="91"/>
      <c r="AT93" s="91">
        <v>17522902443.779999</v>
      </c>
      <c r="AU93" s="90" t="s">
        <v>344</v>
      </c>
      <c r="AV93" s="253"/>
      <c r="AW93" s="263"/>
    </row>
    <row r="94" spans="2:49" x14ac:dyDescent="0.35">
      <c r="B94" s="234"/>
      <c r="C94" s="250" t="s">
        <v>73</v>
      </c>
      <c r="D94" s="88" t="s">
        <v>313</v>
      </c>
      <c r="E94" s="89">
        <v>434</v>
      </c>
      <c r="F94" s="89"/>
      <c r="G94" s="89"/>
      <c r="H94" s="89">
        <v>26951</v>
      </c>
      <c r="I94" s="89"/>
      <c r="J94" s="89">
        <v>187</v>
      </c>
      <c r="K94" s="89"/>
      <c r="L94" s="89">
        <v>12085</v>
      </c>
      <c r="M94" s="89">
        <v>1662</v>
      </c>
      <c r="N94" s="89">
        <v>2385</v>
      </c>
      <c r="O94" s="89">
        <v>87736</v>
      </c>
      <c r="P94" s="89">
        <v>97411</v>
      </c>
      <c r="Q94" s="89">
        <v>96206</v>
      </c>
      <c r="R94" s="89">
        <v>94003</v>
      </c>
      <c r="S94" s="89">
        <v>15630</v>
      </c>
      <c r="T94" s="89"/>
      <c r="U94" s="89"/>
      <c r="V94" s="89"/>
      <c r="W94" s="89">
        <v>13287</v>
      </c>
      <c r="X94" s="89">
        <v>2648</v>
      </c>
      <c r="Y94" s="89"/>
      <c r="Z94" s="89">
        <v>12309</v>
      </c>
      <c r="AA94" s="89">
        <v>12800</v>
      </c>
      <c r="AB94" s="89">
        <v>1123</v>
      </c>
      <c r="AC94" s="89">
        <v>195</v>
      </c>
      <c r="AD94" s="89">
        <v>91857</v>
      </c>
      <c r="AE94" s="89">
        <v>1287827</v>
      </c>
      <c r="AF94" s="89"/>
      <c r="AG94" s="89">
        <v>2026</v>
      </c>
      <c r="AH94" s="89"/>
      <c r="AI94" s="89"/>
      <c r="AJ94" s="89"/>
      <c r="AK94" s="89">
        <v>14093</v>
      </c>
      <c r="AL94" s="89">
        <v>14329</v>
      </c>
      <c r="AM94" s="89">
        <v>153915</v>
      </c>
      <c r="AN94" s="89">
        <v>14467</v>
      </c>
      <c r="AO94" s="89"/>
      <c r="AP94" s="89"/>
      <c r="AQ94" s="89">
        <v>729</v>
      </c>
      <c r="AR94" s="89"/>
      <c r="AS94" s="89"/>
      <c r="AT94" s="89">
        <v>2056295</v>
      </c>
      <c r="AU94" s="88" t="s">
        <v>312</v>
      </c>
      <c r="AV94" s="252" t="s">
        <v>89</v>
      </c>
      <c r="AW94" s="263"/>
    </row>
    <row r="95" spans="2:49" x14ac:dyDescent="0.35">
      <c r="B95" s="234"/>
      <c r="C95" s="251"/>
      <c r="D95" s="90" t="s">
        <v>345</v>
      </c>
      <c r="E95" s="91">
        <v>742646.52</v>
      </c>
      <c r="F95" s="91"/>
      <c r="G95" s="91"/>
      <c r="H95" s="91">
        <v>136466193.43000001</v>
      </c>
      <c r="I95" s="91"/>
      <c r="J95" s="91">
        <v>498589.51</v>
      </c>
      <c r="K95" s="91"/>
      <c r="L95" s="91">
        <v>51304893.140000001</v>
      </c>
      <c r="M95" s="91">
        <v>7896714.4299999997</v>
      </c>
      <c r="N95" s="91">
        <v>6028134.9800000004</v>
      </c>
      <c r="O95" s="91">
        <v>107638029.48</v>
      </c>
      <c r="P95" s="91">
        <v>232545212.28</v>
      </c>
      <c r="Q95" s="91">
        <v>124724588.98</v>
      </c>
      <c r="R95" s="91">
        <v>107277079.69</v>
      </c>
      <c r="S95" s="91">
        <v>85215623.450000003</v>
      </c>
      <c r="T95" s="91"/>
      <c r="U95" s="91"/>
      <c r="V95" s="91"/>
      <c r="W95" s="91">
        <v>16372307.539999999</v>
      </c>
      <c r="X95" s="91">
        <v>5239060.51</v>
      </c>
      <c r="Y95" s="91"/>
      <c r="Z95" s="91">
        <v>63601075.740000002</v>
      </c>
      <c r="AA95" s="91">
        <v>30026715.27</v>
      </c>
      <c r="AB95" s="91">
        <v>3620968.84</v>
      </c>
      <c r="AC95" s="91">
        <v>116410.41999999993</v>
      </c>
      <c r="AD95" s="91">
        <v>448131846.16000003</v>
      </c>
      <c r="AE95" s="91">
        <v>8347461213.3100004</v>
      </c>
      <c r="AF95" s="91"/>
      <c r="AG95" s="91">
        <v>5691702.5999999996</v>
      </c>
      <c r="AH95" s="91"/>
      <c r="AI95" s="91"/>
      <c r="AJ95" s="91"/>
      <c r="AK95" s="91">
        <v>25131514.02</v>
      </c>
      <c r="AL95" s="91">
        <v>28037069.649999999</v>
      </c>
      <c r="AM95" s="91">
        <v>587570950.38</v>
      </c>
      <c r="AN95" s="91">
        <v>36965439.450000003</v>
      </c>
      <c r="AO95" s="91"/>
      <c r="AP95" s="91"/>
      <c r="AQ95" s="91">
        <v>1639306.81</v>
      </c>
      <c r="AR95" s="91"/>
      <c r="AS95" s="91"/>
      <c r="AT95" s="91">
        <v>10459943286.59</v>
      </c>
      <c r="AU95" s="90" t="s">
        <v>344</v>
      </c>
      <c r="AV95" s="253"/>
      <c r="AW95" s="263"/>
    </row>
    <row r="96" spans="2:49" x14ac:dyDescent="0.35">
      <c r="B96" s="234"/>
      <c r="C96" s="250" t="s">
        <v>74</v>
      </c>
      <c r="D96" s="88" t="s">
        <v>313</v>
      </c>
      <c r="E96" s="89"/>
      <c r="F96" s="89"/>
      <c r="G96" s="89"/>
      <c r="H96" s="89">
        <v>35310</v>
      </c>
      <c r="I96" s="89"/>
      <c r="J96" s="89">
        <v>212</v>
      </c>
      <c r="K96" s="89"/>
      <c r="L96" s="89">
        <v>11582</v>
      </c>
      <c r="M96" s="89">
        <v>4324</v>
      </c>
      <c r="N96" s="89">
        <v>11929</v>
      </c>
      <c r="O96" s="89">
        <v>52378</v>
      </c>
      <c r="P96" s="89">
        <v>97903</v>
      </c>
      <c r="Q96" s="89">
        <v>71823</v>
      </c>
      <c r="R96" s="89">
        <v>70684</v>
      </c>
      <c r="S96" s="89">
        <v>37908</v>
      </c>
      <c r="T96" s="89"/>
      <c r="U96" s="89">
        <v>1061</v>
      </c>
      <c r="V96" s="89"/>
      <c r="W96" s="89">
        <v>23152</v>
      </c>
      <c r="X96" s="89">
        <v>5683</v>
      </c>
      <c r="Y96" s="89"/>
      <c r="Z96" s="89">
        <v>16558</v>
      </c>
      <c r="AA96" s="89">
        <v>9939</v>
      </c>
      <c r="AB96" s="89">
        <v>1485</v>
      </c>
      <c r="AC96" s="89">
        <v>0</v>
      </c>
      <c r="AD96" s="89">
        <v>227659</v>
      </c>
      <c r="AE96" s="89">
        <v>600869</v>
      </c>
      <c r="AF96" s="89"/>
      <c r="AG96" s="89">
        <v>1449</v>
      </c>
      <c r="AH96" s="89"/>
      <c r="AI96" s="89">
        <v>355</v>
      </c>
      <c r="AJ96" s="89"/>
      <c r="AK96" s="89">
        <v>17443</v>
      </c>
      <c r="AL96" s="89">
        <v>17679</v>
      </c>
      <c r="AM96" s="89">
        <v>170852</v>
      </c>
      <c r="AN96" s="89">
        <v>12125</v>
      </c>
      <c r="AO96" s="89"/>
      <c r="AP96" s="89"/>
      <c r="AQ96" s="89">
        <v>1784</v>
      </c>
      <c r="AR96" s="89"/>
      <c r="AS96" s="89">
        <v>1892</v>
      </c>
      <c r="AT96" s="89">
        <v>1504038</v>
      </c>
      <c r="AU96" s="88" t="s">
        <v>312</v>
      </c>
      <c r="AV96" s="252" t="s">
        <v>90</v>
      </c>
      <c r="AW96" s="263"/>
    </row>
    <row r="97" spans="2:49" x14ac:dyDescent="0.35">
      <c r="B97" s="234"/>
      <c r="C97" s="251"/>
      <c r="D97" s="90" t="s">
        <v>345</v>
      </c>
      <c r="E97" s="91"/>
      <c r="F97" s="91"/>
      <c r="G97" s="91"/>
      <c r="H97" s="91">
        <v>216071538.91</v>
      </c>
      <c r="I97" s="91"/>
      <c r="J97" s="91">
        <v>352704.9</v>
      </c>
      <c r="K97" s="91"/>
      <c r="L97" s="91">
        <v>43504190.090000004</v>
      </c>
      <c r="M97" s="91">
        <v>24750128.370000001</v>
      </c>
      <c r="N97" s="91">
        <v>34846103.780000001</v>
      </c>
      <c r="O97" s="91">
        <v>76625840.129999995</v>
      </c>
      <c r="P97" s="91">
        <v>402287993.87</v>
      </c>
      <c r="Q97" s="91">
        <v>134850804.58000001</v>
      </c>
      <c r="R97" s="91">
        <v>96591795.019999996</v>
      </c>
      <c r="S97" s="91">
        <v>235659045.86000001</v>
      </c>
      <c r="T97" s="91"/>
      <c r="U97" s="91">
        <v>2474719.9500000002</v>
      </c>
      <c r="V97" s="91"/>
      <c r="W97" s="91">
        <v>39896998.829999998</v>
      </c>
      <c r="X97" s="91">
        <v>21177400.489999998</v>
      </c>
      <c r="Y97" s="91"/>
      <c r="Z97" s="91">
        <v>86481185.640000001</v>
      </c>
      <c r="AA97" s="91">
        <v>31286752.91</v>
      </c>
      <c r="AB97" s="91">
        <v>4626898.1900000004</v>
      </c>
      <c r="AC97" s="91">
        <v>0</v>
      </c>
      <c r="AD97" s="91">
        <v>1438607252.78</v>
      </c>
      <c r="AE97" s="91">
        <v>4359135012.9099998</v>
      </c>
      <c r="AF97" s="91"/>
      <c r="AG97" s="91">
        <v>3221503.46</v>
      </c>
      <c r="AH97" s="91"/>
      <c r="AI97" s="91">
        <v>814900.63</v>
      </c>
      <c r="AJ97" s="91"/>
      <c r="AK97" s="91">
        <v>39795689.990000002</v>
      </c>
      <c r="AL97" s="91">
        <v>64841576.890000001</v>
      </c>
      <c r="AM97" s="91">
        <v>771466208.11000001</v>
      </c>
      <c r="AN97" s="91">
        <v>26796606.260000002</v>
      </c>
      <c r="AO97" s="91"/>
      <c r="AP97" s="91"/>
      <c r="AQ97" s="91">
        <v>4970161.88</v>
      </c>
      <c r="AR97" s="91"/>
      <c r="AS97" s="91">
        <v>4869560.93</v>
      </c>
      <c r="AT97" s="91">
        <v>8166002575.3599997</v>
      </c>
      <c r="AU97" s="90" t="s">
        <v>344</v>
      </c>
      <c r="AV97" s="253"/>
      <c r="AW97" s="263"/>
    </row>
    <row r="98" spans="2:49" x14ac:dyDescent="0.35">
      <c r="B98" s="234"/>
      <c r="C98" s="250" t="s">
        <v>75</v>
      </c>
      <c r="D98" s="88" t="s">
        <v>313</v>
      </c>
      <c r="E98" s="89">
        <v>1400</v>
      </c>
      <c r="F98" s="89"/>
      <c r="G98" s="89"/>
      <c r="H98" s="89">
        <v>52717</v>
      </c>
      <c r="I98" s="89"/>
      <c r="J98" s="89">
        <v>918</v>
      </c>
      <c r="K98" s="89"/>
      <c r="L98" s="89">
        <v>6213</v>
      </c>
      <c r="M98" s="89">
        <v>4155</v>
      </c>
      <c r="N98" s="89">
        <v>4059</v>
      </c>
      <c r="O98" s="89">
        <v>93585</v>
      </c>
      <c r="P98" s="89">
        <v>120274</v>
      </c>
      <c r="Q98" s="89">
        <v>102168</v>
      </c>
      <c r="R98" s="89">
        <v>98512</v>
      </c>
      <c r="S98" s="89">
        <v>32915</v>
      </c>
      <c r="T98" s="89"/>
      <c r="U98" s="89">
        <v>5971</v>
      </c>
      <c r="V98" s="89"/>
      <c r="W98" s="89">
        <v>19990</v>
      </c>
      <c r="X98" s="89">
        <v>9107</v>
      </c>
      <c r="Y98" s="89">
        <v>702</v>
      </c>
      <c r="Z98" s="89">
        <v>15971</v>
      </c>
      <c r="AA98" s="89">
        <v>12574</v>
      </c>
      <c r="AB98" s="89">
        <v>426</v>
      </c>
      <c r="AC98" s="89">
        <v>0</v>
      </c>
      <c r="AD98" s="89">
        <v>109671</v>
      </c>
      <c r="AE98" s="89">
        <v>1851096</v>
      </c>
      <c r="AF98" s="89"/>
      <c r="AG98" s="89">
        <v>9178</v>
      </c>
      <c r="AH98" s="89">
        <v>1124</v>
      </c>
      <c r="AI98" s="89">
        <v>119</v>
      </c>
      <c r="AJ98" s="89">
        <v>1646</v>
      </c>
      <c r="AK98" s="89">
        <v>12457</v>
      </c>
      <c r="AL98" s="89">
        <v>12198</v>
      </c>
      <c r="AM98" s="89">
        <v>187971</v>
      </c>
      <c r="AN98" s="89">
        <v>17789</v>
      </c>
      <c r="AO98" s="89"/>
      <c r="AP98" s="89"/>
      <c r="AQ98" s="89">
        <v>3243</v>
      </c>
      <c r="AR98" s="89">
        <v>539</v>
      </c>
      <c r="AS98" s="89">
        <v>852</v>
      </c>
      <c r="AT98" s="89">
        <v>2789540</v>
      </c>
      <c r="AU98" s="88" t="s">
        <v>312</v>
      </c>
      <c r="AV98" s="252" t="s">
        <v>91</v>
      </c>
      <c r="AW98" s="263"/>
    </row>
    <row r="99" spans="2:49" x14ac:dyDescent="0.35">
      <c r="B99" s="234"/>
      <c r="C99" s="251"/>
      <c r="D99" s="90" t="s">
        <v>345</v>
      </c>
      <c r="E99" s="91">
        <v>3045663.44</v>
      </c>
      <c r="F99" s="91"/>
      <c r="G99" s="91"/>
      <c r="H99" s="91">
        <v>391724738.81999999</v>
      </c>
      <c r="I99" s="91"/>
      <c r="J99" s="91">
        <v>921202.99</v>
      </c>
      <c r="K99" s="91"/>
      <c r="L99" s="91">
        <v>15157964.890000001</v>
      </c>
      <c r="M99" s="91">
        <v>16928441.039999999</v>
      </c>
      <c r="N99" s="91">
        <v>19514842.66</v>
      </c>
      <c r="O99" s="91">
        <v>137453564.12</v>
      </c>
      <c r="P99" s="91">
        <v>423153118.42000002</v>
      </c>
      <c r="Q99" s="91">
        <v>210981992.03999999</v>
      </c>
      <c r="R99" s="91">
        <v>104405099.69</v>
      </c>
      <c r="S99" s="91">
        <v>150189021.34999999</v>
      </c>
      <c r="T99" s="91"/>
      <c r="U99" s="91">
        <v>22948064.670000002</v>
      </c>
      <c r="V99" s="91"/>
      <c r="W99" s="91">
        <v>34497527.130000003</v>
      </c>
      <c r="X99" s="91">
        <v>17335866.010000002</v>
      </c>
      <c r="Y99" s="91">
        <v>1777784.16</v>
      </c>
      <c r="Z99" s="91">
        <v>82123040.870000005</v>
      </c>
      <c r="AA99" s="91">
        <v>33398129.280000001</v>
      </c>
      <c r="AB99" s="91">
        <v>1883549.27</v>
      </c>
      <c r="AC99" s="91">
        <v>0</v>
      </c>
      <c r="AD99" s="91">
        <v>481134996.97000003</v>
      </c>
      <c r="AE99" s="91">
        <v>26881506005.529999</v>
      </c>
      <c r="AF99" s="91"/>
      <c r="AG99" s="91">
        <v>24641340.969999999</v>
      </c>
      <c r="AH99" s="91">
        <v>11114879.439999999</v>
      </c>
      <c r="AI99" s="91">
        <v>45311.24</v>
      </c>
      <c r="AJ99" s="91">
        <v>1114529.47</v>
      </c>
      <c r="AK99" s="91">
        <v>20002700.550000001</v>
      </c>
      <c r="AL99" s="91">
        <v>29489585.379999999</v>
      </c>
      <c r="AM99" s="91">
        <v>689604762.25999999</v>
      </c>
      <c r="AN99" s="91">
        <v>29612651.559999999</v>
      </c>
      <c r="AO99" s="91"/>
      <c r="AP99" s="91"/>
      <c r="AQ99" s="91">
        <v>8964909.9100000001</v>
      </c>
      <c r="AR99" s="91">
        <v>1361708.2</v>
      </c>
      <c r="AS99" s="91">
        <v>2571644.65</v>
      </c>
      <c r="AT99" s="91">
        <v>29848604636.98</v>
      </c>
      <c r="AU99" s="90" t="s">
        <v>344</v>
      </c>
      <c r="AV99" s="253"/>
      <c r="AW99" s="263"/>
    </row>
    <row r="100" spans="2:49" x14ac:dyDescent="0.35">
      <c r="B100" s="234"/>
      <c r="C100" s="250" t="s">
        <v>76</v>
      </c>
      <c r="D100" s="88" t="s">
        <v>313</v>
      </c>
      <c r="E100" s="89">
        <v>283</v>
      </c>
      <c r="F100" s="89"/>
      <c r="G100" s="89"/>
      <c r="H100" s="89">
        <v>16218</v>
      </c>
      <c r="I100" s="89">
        <v>927</v>
      </c>
      <c r="J100" s="89">
        <v>447</v>
      </c>
      <c r="K100" s="89"/>
      <c r="L100" s="89">
        <v>10071</v>
      </c>
      <c r="M100" s="89">
        <v>2374</v>
      </c>
      <c r="N100" s="89">
        <v>5481</v>
      </c>
      <c r="O100" s="89">
        <v>94389</v>
      </c>
      <c r="P100" s="89">
        <v>92642</v>
      </c>
      <c r="Q100" s="89">
        <v>103637</v>
      </c>
      <c r="R100" s="89">
        <v>89083</v>
      </c>
      <c r="S100" s="89">
        <v>30584</v>
      </c>
      <c r="T100" s="89"/>
      <c r="U100" s="89">
        <v>3292</v>
      </c>
      <c r="V100" s="89"/>
      <c r="W100" s="89">
        <v>17362</v>
      </c>
      <c r="X100" s="89">
        <v>3425</v>
      </c>
      <c r="Y100" s="89">
        <v>611</v>
      </c>
      <c r="Z100" s="89">
        <v>24587</v>
      </c>
      <c r="AA100" s="89">
        <v>24398</v>
      </c>
      <c r="AB100" s="89">
        <v>1864</v>
      </c>
      <c r="AC100" s="89">
        <v>0</v>
      </c>
      <c r="AD100" s="89">
        <v>170948</v>
      </c>
      <c r="AE100" s="89">
        <v>811417</v>
      </c>
      <c r="AF100" s="89"/>
      <c r="AG100" s="89">
        <v>11609</v>
      </c>
      <c r="AH100" s="89"/>
      <c r="AI100" s="89">
        <v>847</v>
      </c>
      <c r="AJ100" s="89">
        <v>51</v>
      </c>
      <c r="AK100" s="89">
        <v>21652</v>
      </c>
      <c r="AL100" s="89">
        <v>17357</v>
      </c>
      <c r="AM100" s="89">
        <v>162876</v>
      </c>
      <c r="AN100" s="89">
        <v>18597</v>
      </c>
      <c r="AO100" s="89"/>
      <c r="AP100" s="89"/>
      <c r="AQ100" s="89">
        <v>17855</v>
      </c>
      <c r="AR100" s="89">
        <v>243</v>
      </c>
      <c r="AS100" s="89">
        <v>611</v>
      </c>
      <c r="AT100" s="89">
        <v>1755738</v>
      </c>
      <c r="AU100" s="88" t="s">
        <v>312</v>
      </c>
      <c r="AV100" s="252" t="s">
        <v>92</v>
      </c>
      <c r="AW100" s="263"/>
    </row>
    <row r="101" spans="2:49" x14ac:dyDescent="0.35">
      <c r="B101" s="234"/>
      <c r="C101" s="251"/>
      <c r="D101" s="90" t="s">
        <v>345</v>
      </c>
      <c r="E101" s="91">
        <v>455026.06</v>
      </c>
      <c r="F101" s="91"/>
      <c r="G101" s="91"/>
      <c r="H101" s="91">
        <v>106519851.19</v>
      </c>
      <c r="I101" s="91">
        <v>3572423.08</v>
      </c>
      <c r="J101" s="91">
        <v>5493807.2199999997</v>
      </c>
      <c r="K101" s="91"/>
      <c r="L101" s="91">
        <v>28999747.879999999</v>
      </c>
      <c r="M101" s="91">
        <v>13356787.51</v>
      </c>
      <c r="N101" s="91">
        <v>12714585.640000001</v>
      </c>
      <c r="O101" s="91">
        <v>144333530.13999999</v>
      </c>
      <c r="P101" s="91">
        <v>258663432.61000001</v>
      </c>
      <c r="Q101" s="91">
        <v>175910154.53999999</v>
      </c>
      <c r="R101" s="91">
        <v>90240491.079999998</v>
      </c>
      <c r="S101" s="91">
        <v>131364701.59</v>
      </c>
      <c r="T101" s="91"/>
      <c r="U101" s="91">
        <v>6348350.0999999996</v>
      </c>
      <c r="V101" s="91"/>
      <c r="W101" s="91">
        <v>35003303.740000002</v>
      </c>
      <c r="X101" s="91">
        <v>5604368.3200000003</v>
      </c>
      <c r="Y101" s="91">
        <v>1602706.11</v>
      </c>
      <c r="Z101" s="91">
        <v>94971432.090000004</v>
      </c>
      <c r="AA101" s="91">
        <v>118068601.13</v>
      </c>
      <c r="AB101" s="91">
        <v>8465421.1799999997</v>
      </c>
      <c r="AC101" s="91">
        <v>0</v>
      </c>
      <c r="AD101" s="91">
        <v>1070502867.76</v>
      </c>
      <c r="AE101" s="91">
        <v>5576759054.6899996</v>
      </c>
      <c r="AF101" s="91"/>
      <c r="AG101" s="91">
        <v>24012825.59</v>
      </c>
      <c r="AH101" s="91"/>
      <c r="AI101" s="91">
        <v>799784.28</v>
      </c>
      <c r="AJ101" s="91">
        <v>29152.43</v>
      </c>
      <c r="AK101" s="91">
        <v>51722371.210000001</v>
      </c>
      <c r="AL101" s="91">
        <v>54670629.149999999</v>
      </c>
      <c r="AM101" s="91">
        <v>580028815.17999995</v>
      </c>
      <c r="AN101" s="91">
        <v>32789586.890000001</v>
      </c>
      <c r="AO101" s="91"/>
      <c r="AP101" s="91"/>
      <c r="AQ101" s="91">
        <v>79738511.829999998</v>
      </c>
      <c r="AR101" s="91">
        <v>3621542</v>
      </c>
      <c r="AS101" s="91">
        <v>1336118.29</v>
      </c>
      <c r="AT101" s="91">
        <v>8717699980.5100002</v>
      </c>
      <c r="AU101" s="90" t="s">
        <v>344</v>
      </c>
      <c r="AV101" s="253"/>
      <c r="AW101" s="263"/>
    </row>
    <row r="102" spans="2:49" x14ac:dyDescent="0.35">
      <c r="B102" s="234"/>
      <c r="C102" s="250" t="s">
        <v>77</v>
      </c>
      <c r="D102" s="88" t="s">
        <v>313</v>
      </c>
      <c r="E102" s="89">
        <v>3754</v>
      </c>
      <c r="F102" s="89"/>
      <c r="G102" s="89"/>
      <c r="H102" s="89">
        <v>14154</v>
      </c>
      <c r="I102" s="89"/>
      <c r="J102" s="89">
        <v>1033</v>
      </c>
      <c r="K102" s="89"/>
      <c r="L102" s="89">
        <v>17656</v>
      </c>
      <c r="M102" s="89">
        <v>90</v>
      </c>
      <c r="N102" s="89">
        <v>46</v>
      </c>
      <c r="O102" s="89">
        <v>71148</v>
      </c>
      <c r="P102" s="89">
        <v>126912</v>
      </c>
      <c r="Q102" s="89">
        <v>108536</v>
      </c>
      <c r="R102" s="89">
        <v>140626</v>
      </c>
      <c r="S102" s="89">
        <v>44342</v>
      </c>
      <c r="T102" s="89"/>
      <c r="U102" s="89"/>
      <c r="V102" s="89"/>
      <c r="W102" s="89">
        <v>13972</v>
      </c>
      <c r="X102" s="89">
        <v>9143</v>
      </c>
      <c r="Y102" s="89">
        <v>42</v>
      </c>
      <c r="Z102" s="89">
        <v>12663</v>
      </c>
      <c r="AA102" s="89">
        <v>18988</v>
      </c>
      <c r="AB102" s="89">
        <v>872</v>
      </c>
      <c r="AC102" s="89">
        <v>42</v>
      </c>
      <c r="AD102" s="89">
        <v>186728</v>
      </c>
      <c r="AE102" s="89">
        <v>1069033</v>
      </c>
      <c r="AF102" s="89"/>
      <c r="AG102" s="89">
        <v>5715</v>
      </c>
      <c r="AH102" s="89"/>
      <c r="AI102" s="89">
        <v>476</v>
      </c>
      <c r="AJ102" s="89"/>
      <c r="AK102" s="89">
        <v>28500</v>
      </c>
      <c r="AL102" s="89">
        <v>21188</v>
      </c>
      <c r="AM102" s="89">
        <v>216666</v>
      </c>
      <c r="AN102" s="89">
        <v>13792</v>
      </c>
      <c r="AO102" s="89"/>
      <c r="AP102" s="89"/>
      <c r="AQ102" s="89">
        <v>12137</v>
      </c>
      <c r="AR102" s="89">
        <v>158</v>
      </c>
      <c r="AS102" s="89"/>
      <c r="AT102" s="89">
        <v>2138412</v>
      </c>
      <c r="AU102" s="88" t="s">
        <v>312</v>
      </c>
      <c r="AV102" s="252" t="s">
        <v>93</v>
      </c>
      <c r="AW102" s="263"/>
    </row>
    <row r="103" spans="2:49" x14ac:dyDescent="0.35">
      <c r="B103" s="234"/>
      <c r="C103" s="251"/>
      <c r="D103" s="90" t="s">
        <v>345</v>
      </c>
      <c r="E103" s="91">
        <v>13588155.66</v>
      </c>
      <c r="F103" s="91"/>
      <c r="G103" s="91"/>
      <c r="H103" s="91">
        <v>96994139.409999996</v>
      </c>
      <c r="I103" s="91"/>
      <c r="J103" s="91">
        <v>4318698.2699999996</v>
      </c>
      <c r="K103" s="91"/>
      <c r="L103" s="91">
        <v>45901567.049999997</v>
      </c>
      <c r="M103" s="91">
        <v>123032.29</v>
      </c>
      <c r="N103" s="91">
        <v>255088.92</v>
      </c>
      <c r="O103" s="91">
        <v>93337917.060000002</v>
      </c>
      <c r="P103" s="91">
        <v>134435273.27000001</v>
      </c>
      <c r="Q103" s="91">
        <v>156652894.50999999</v>
      </c>
      <c r="R103" s="91">
        <v>159537269.11000001</v>
      </c>
      <c r="S103" s="91">
        <v>185939033.33000001</v>
      </c>
      <c r="T103" s="91"/>
      <c r="U103" s="91"/>
      <c r="V103" s="91"/>
      <c r="W103" s="91">
        <v>17663118.27</v>
      </c>
      <c r="X103" s="91">
        <v>15374490.17</v>
      </c>
      <c r="Y103" s="91">
        <v>36143.089999999997</v>
      </c>
      <c r="Z103" s="91">
        <v>65470874.619999997</v>
      </c>
      <c r="AA103" s="91">
        <v>72866448.430000007</v>
      </c>
      <c r="AB103" s="91">
        <v>4738428.68</v>
      </c>
      <c r="AC103" s="91">
        <v>57297.669999999925</v>
      </c>
      <c r="AD103" s="91">
        <v>1142449002.6700001</v>
      </c>
      <c r="AE103" s="91">
        <v>6486036129.3199997</v>
      </c>
      <c r="AF103" s="91"/>
      <c r="AG103" s="91">
        <v>21645457.149999999</v>
      </c>
      <c r="AH103" s="91"/>
      <c r="AI103" s="91">
        <v>382002.65</v>
      </c>
      <c r="AJ103" s="91"/>
      <c r="AK103" s="91">
        <v>27591795.449999999</v>
      </c>
      <c r="AL103" s="91">
        <v>65490065.329999998</v>
      </c>
      <c r="AM103" s="91">
        <v>748349173.11000001</v>
      </c>
      <c r="AN103" s="91">
        <v>29502418.719999999</v>
      </c>
      <c r="AO103" s="91"/>
      <c r="AP103" s="91"/>
      <c r="AQ103" s="91">
        <v>92116279.840000004</v>
      </c>
      <c r="AR103" s="91">
        <v>1095958.81</v>
      </c>
      <c r="AS103" s="91"/>
      <c r="AT103" s="91">
        <v>9681948152.8600006</v>
      </c>
      <c r="AU103" s="90" t="s">
        <v>344</v>
      </c>
      <c r="AV103" s="253"/>
      <c r="AW103" s="263"/>
    </row>
    <row r="104" spans="2:49" x14ac:dyDescent="0.35">
      <c r="B104" s="234"/>
      <c r="C104" s="250" t="s">
        <v>78</v>
      </c>
      <c r="D104" s="88" t="s">
        <v>313</v>
      </c>
      <c r="E104" s="89"/>
      <c r="F104" s="89"/>
      <c r="G104" s="89"/>
      <c r="H104" s="89">
        <v>15854</v>
      </c>
      <c r="I104" s="89">
        <v>2438</v>
      </c>
      <c r="J104" s="89">
        <v>205</v>
      </c>
      <c r="K104" s="89">
        <v>1675</v>
      </c>
      <c r="L104" s="89">
        <v>2118</v>
      </c>
      <c r="M104" s="89">
        <v>144</v>
      </c>
      <c r="N104" s="89">
        <v>1280</v>
      </c>
      <c r="O104" s="89">
        <v>42753</v>
      </c>
      <c r="P104" s="89">
        <v>73516</v>
      </c>
      <c r="Q104" s="89">
        <v>88985</v>
      </c>
      <c r="R104" s="89">
        <v>93646</v>
      </c>
      <c r="S104" s="89">
        <v>22170</v>
      </c>
      <c r="T104" s="89"/>
      <c r="U104" s="89"/>
      <c r="V104" s="89"/>
      <c r="W104" s="89">
        <v>14894</v>
      </c>
      <c r="X104" s="89">
        <v>3795</v>
      </c>
      <c r="Y104" s="89">
        <v>36</v>
      </c>
      <c r="Z104" s="89">
        <v>14509</v>
      </c>
      <c r="AA104" s="89">
        <v>11629</v>
      </c>
      <c r="AB104" s="89">
        <v>987</v>
      </c>
      <c r="AC104" s="89">
        <v>0</v>
      </c>
      <c r="AD104" s="89">
        <v>174151</v>
      </c>
      <c r="AE104" s="89">
        <v>1135823</v>
      </c>
      <c r="AF104" s="89"/>
      <c r="AG104" s="89">
        <v>1110</v>
      </c>
      <c r="AH104" s="89"/>
      <c r="AI104" s="89"/>
      <c r="AJ104" s="89">
        <v>297</v>
      </c>
      <c r="AK104" s="89">
        <v>19646</v>
      </c>
      <c r="AL104" s="89">
        <v>20387</v>
      </c>
      <c r="AM104" s="89">
        <v>215167</v>
      </c>
      <c r="AN104" s="89">
        <v>6121</v>
      </c>
      <c r="AO104" s="89"/>
      <c r="AP104" s="89"/>
      <c r="AQ104" s="89">
        <v>6986</v>
      </c>
      <c r="AR104" s="89"/>
      <c r="AS104" s="89">
        <v>1184</v>
      </c>
      <c r="AT104" s="89">
        <v>1971506</v>
      </c>
      <c r="AU104" s="88" t="s">
        <v>312</v>
      </c>
      <c r="AV104" s="252" t="s">
        <v>94</v>
      </c>
      <c r="AW104" s="263"/>
    </row>
    <row r="105" spans="2:49" x14ac:dyDescent="0.35">
      <c r="B105" s="234"/>
      <c r="C105" s="251"/>
      <c r="D105" s="90" t="s">
        <v>345</v>
      </c>
      <c r="E105" s="91"/>
      <c r="F105" s="91"/>
      <c r="G105" s="91"/>
      <c r="H105" s="91">
        <v>128002368.84999999</v>
      </c>
      <c r="I105" s="91">
        <v>10887460.91</v>
      </c>
      <c r="J105" s="91">
        <v>101569.86</v>
      </c>
      <c r="K105" s="91">
        <v>9589171.6899999995</v>
      </c>
      <c r="L105" s="91">
        <v>3692432.38</v>
      </c>
      <c r="M105" s="91">
        <v>184889.54</v>
      </c>
      <c r="N105" s="91">
        <v>3257440.68</v>
      </c>
      <c r="O105" s="91">
        <v>62090880.030000001</v>
      </c>
      <c r="P105" s="91">
        <v>221273218.40000001</v>
      </c>
      <c r="Q105" s="91">
        <v>225286525.59999999</v>
      </c>
      <c r="R105" s="91">
        <v>101396723.31999999</v>
      </c>
      <c r="S105" s="91">
        <v>95519799.129999995</v>
      </c>
      <c r="T105" s="91"/>
      <c r="U105" s="91"/>
      <c r="V105" s="91"/>
      <c r="W105" s="91">
        <v>23441853.699999999</v>
      </c>
      <c r="X105" s="91">
        <v>9133368.4499999993</v>
      </c>
      <c r="Y105" s="91">
        <v>44565.13</v>
      </c>
      <c r="Z105" s="91">
        <v>96407737.700000003</v>
      </c>
      <c r="AA105" s="91">
        <v>51180705.539999999</v>
      </c>
      <c r="AB105" s="91">
        <v>5422579.25</v>
      </c>
      <c r="AC105" s="91">
        <v>0</v>
      </c>
      <c r="AD105" s="91">
        <v>997459511.82000005</v>
      </c>
      <c r="AE105" s="91">
        <v>7134171871.7700005</v>
      </c>
      <c r="AF105" s="91"/>
      <c r="AG105" s="91">
        <v>2762599.36</v>
      </c>
      <c r="AH105" s="91"/>
      <c r="AI105" s="91"/>
      <c r="AJ105" s="91">
        <v>518911.87</v>
      </c>
      <c r="AK105" s="91">
        <v>65110515.119999997</v>
      </c>
      <c r="AL105" s="91">
        <v>110565557.72</v>
      </c>
      <c r="AM105" s="91">
        <v>996580699.38999999</v>
      </c>
      <c r="AN105" s="91">
        <v>11028977.970000001</v>
      </c>
      <c r="AO105" s="91"/>
      <c r="AP105" s="91"/>
      <c r="AQ105" s="91">
        <v>40422411.549999997</v>
      </c>
      <c r="AR105" s="91"/>
      <c r="AS105" s="91">
        <v>4639032.22</v>
      </c>
      <c r="AT105" s="91">
        <v>10410173378.950001</v>
      </c>
      <c r="AU105" s="90" t="s">
        <v>344</v>
      </c>
      <c r="AV105" s="253"/>
      <c r="AW105" s="263"/>
    </row>
    <row r="106" spans="2:49" x14ac:dyDescent="0.35">
      <c r="B106" s="234"/>
      <c r="C106" s="250" t="s">
        <v>79</v>
      </c>
      <c r="D106" s="88" t="s">
        <v>313</v>
      </c>
      <c r="E106" s="89"/>
      <c r="F106" s="89"/>
      <c r="G106" s="89"/>
      <c r="H106" s="89">
        <v>22697</v>
      </c>
      <c r="I106" s="89">
        <v>2346</v>
      </c>
      <c r="J106" s="89">
        <v>2147</v>
      </c>
      <c r="K106" s="89">
        <v>5496</v>
      </c>
      <c r="L106" s="89">
        <v>667</v>
      </c>
      <c r="M106" s="89">
        <v>1350</v>
      </c>
      <c r="N106" s="89">
        <v>587</v>
      </c>
      <c r="O106" s="89">
        <v>43940</v>
      </c>
      <c r="P106" s="89">
        <v>80660</v>
      </c>
      <c r="Q106" s="89">
        <v>79532</v>
      </c>
      <c r="R106" s="89">
        <v>72087</v>
      </c>
      <c r="S106" s="89">
        <v>33046</v>
      </c>
      <c r="T106" s="89"/>
      <c r="U106" s="89"/>
      <c r="V106" s="89"/>
      <c r="W106" s="89">
        <v>19756</v>
      </c>
      <c r="X106" s="89">
        <v>48556</v>
      </c>
      <c r="Y106" s="89">
        <v>1620</v>
      </c>
      <c r="Z106" s="89">
        <v>15347</v>
      </c>
      <c r="AA106" s="89">
        <v>7179</v>
      </c>
      <c r="AB106" s="89">
        <v>12549</v>
      </c>
      <c r="AC106" s="89">
        <v>0</v>
      </c>
      <c r="AD106" s="89">
        <v>183052</v>
      </c>
      <c r="AE106" s="89">
        <v>1504944</v>
      </c>
      <c r="AF106" s="89"/>
      <c r="AG106" s="89">
        <v>4531</v>
      </c>
      <c r="AH106" s="89"/>
      <c r="AI106" s="89"/>
      <c r="AJ106" s="89">
        <v>64</v>
      </c>
      <c r="AK106" s="89">
        <v>16957</v>
      </c>
      <c r="AL106" s="89">
        <v>15973</v>
      </c>
      <c r="AM106" s="89">
        <v>212280</v>
      </c>
      <c r="AN106" s="89">
        <v>2251</v>
      </c>
      <c r="AO106" s="89">
        <v>282</v>
      </c>
      <c r="AP106" s="89">
        <v>3118</v>
      </c>
      <c r="AQ106" s="89">
        <v>23052</v>
      </c>
      <c r="AR106" s="89">
        <v>531</v>
      </c>
      <c r="AS106" s="89"/>
      <c r="AT106" s="89">
        <v>2416597</v>
      </c>
      <c r="AU106" s="88" t="s">
        <v>312</v>
      </c>
      <c r="AV106" s="252" t="s">
        <v>95</v>
      </c>
      <c r="AW106" s="263"/>
    </row>
    <row r="107" spans="2:49" x14ac:dyDescent="0.35">
      <c r="B107" s="234"/>
      <c r="C107" s="251"/>
      <c r="D107" s="90" t="s">
        <v>345</v>
      </c>
      <c r="E107" s="91"/>
      <c r="F107" s="91"/>
      <c r="G107" s="91"/>
      <c r="H107" s="91">
        <v>158917913.33000001</v>
      </c>
      <c r="I107" s="91">
        <v>10674964.6</v>
      </c>
      <c r="J107" s="91">
        <v>6442820.3799999999</v>
      </c>
      <c r="K107" s="91">
        <v>27935507.359999999</v>
      </c>
      <c r="L107" s="91">
        <v>1678782.37</v>
      </c>
      <c r="M107" s="91">
        <v>1507499.62</v>
      </c>
      <c r="N107" s="91">
        <v>1563494.37</v>
      </c>
      <c r="O107" s="91">
        <v>38444917.579999998</v>
      </c>
      <c r="P107" s="91">
        <v>182496678.5</v>
      </c>
      <c r="Q107" s="91">
        <v>182170059.59999999</v>
      </c>
      <c r="R107" s="91">
        <v>102249763.84</v>
      </c>
      <c r="S107" s="91">
        <v>95196747.510000005</v>
      </c>
      <c r="T107" s="91"/>
      <c r="U107" s="91"/>
      <c r="V107" s="91"/>
      <c r="W107" s="91">
        <v>54409520.530000001</v>
      </c>
      <c r="X107" s="91">
        <v>97491933.719999999</v>
      </c>
      <c r="Y107" s="91">
        <v>2826995.4</v>
      </c>
      <c r="Z107" s="91">
        <v>117152823.31999999</v>
      </c>
      <c r="AA107" s="91">
        <v>36675789.640000001</v>
      </c>
      <c r="AB107" s="91">
        <v>69831374.620000005</v>
      </c>
      <c r="AC107" s="91">
        <v>0</v>
      </c>
      <c r="AD107" s="91">
        <v>1180363468.49</v>
      </c>
      <c r="AE107" s="91">
        <v>10823273981.809999</v>
      </c>
      <c r="AF107" s="91"/>
      <c r="AG107" s="91">
        <v>20759793.370000001</v>
      </c>
      <c r="AH107" s="91"/>
      <c r="AI107" s="91"/>
      <c r="AJ107" s="91">
        <v>265918.49</v>
      </c>
      <c r="AK107" s="91">
        <v>34730382.530000001</v>
      </c>
      <c r="AL107" s="91">
        <v>52773478.689999998</v>
      </c>
      <c r="AM107" s="91">
        <v>1022238706.5700001</v>
      </c>
      <c r="AN107" s="91">
        <v>18440322.66</v>
      </c>
      <c r="AO107" s="91">
        <v>2538720.48</v>
      </c>
      <c r="AP107" s="91">
        <v>50093686.579999998</v>
      </c>
      <c r="AQ107" s="91">
        <v>189835011.47</v>
      </c>
      <c r="AR107" s="91">
        <v>8764778.3900000006</v>
      </c>
      <c r="AS107" s="91"/>
      <c r="AT107" s="91">
        <v>14591745835.82</v>
      </c>
      <c r="AU107" s="90" t="s">
        <v>344</v>
      </c>
      <c r="AV107" s="253"/>
      <c r="AW107" s="263"/>
    </row>
    <row r="108" spans="2:49" x14ac:dyDescent="0.35">
      <c r="B108" s="234"/>
      <c r="C108" s="250" t="s">
        <v>80</v>
      </c>
      <c r="D108" s="88" t="s">
        <v>313</v>
      </c>
      <c r="E108" s="89"/>
      <c r="F108" s="89"/>
      <c r="G108" s="89"/>
      <c r="H108" s="89">
        <v>22608</v>
      </c>
      <c r="I108" s="89">
        <v>2694</v>
      </c>
      <c r="J108" s="89">
        <v>4799</v>
      </c>
      <c r="K108" s="89">
        <v>4306</v>
      </c>
      <c r="L108" s="89">
        <v>3227</v>
      </c>
      <c r="M108" s="89">
        <v>252</v>
      </c>
      <c r="N108" s="89">
        <v>523</v>
      </c>
      <c r="O108" s="89">
        <v>82575</v>
      </c>
      <c r="P108" s="89">
        <v>62858</v>
      </c>
      <c r="Q108" s="89">
        <v>93825</v>
      </c>
      <c r="R108" s="89">
        <v>80567</v>
      </c>
      <c r="S108" s="89">
        <v>12449</v>
      </c>
      <c r="T108" s="89"/>
      <c r="U108" s="89">
        <v>84</v>
      </c>
      <c r="V108" s="89"/>
      <c r="W108" s="89">
        <v>10952</v>
      </c>
      <c r="X108" s="89">
        <v>17360</v>
      </c>
      <c r="Y108" s="89">
        <v>1725</v>
      </c>
      <c r="Z108" s="89">
        <v>20413</v>
      </c>
      <c r="AA108" s="89">
        <v>13188</v>
      </c>
      <c r="AB108" s="89">
        <v>13200</v>
      </c>
      <c r="AC108" s="89">
        <v>0</v>
      </c>
      <c r="AD108" s="89">
        <v>248000</v>
      </c>
      <c r="AE108" s="89">
        <v>1478329</v>
      </c>
      <c r="AF108" s="89"/>
      <c r="AG108" s="89">
        <v>789</v>
      </c>
      <c r="AH108" s="89"/>
      <c r="AI108" s="89">
        <v>157</v>
      </c>
      <c r="AJ108" s="89"/>
      <c r="AK108" s="89">
        <v>33397</v>
      </c>
      <c r="AL108" s="89">
        <v>18732</v>
      </c>
      <c r="AM108" s="89">
        <v>286633</v>
      </c>
      <c r="AN108" s="89">
        <v>4484</v>
      </c>
      <c r="AO108" s="89">
        <v>1786</v>
      </c>
      <c r="AP108" s="89">
        <v>1223</v>
      </c>
      <c r="AQ108" s="89">
        <v>18807</v>
      </c>
      <c r="AR108" s="89">
        <v>1705</v>
      </c>
      <c r="AS108" s="89"/>
      <c r="AT108" s="89">
        <v>2541647</v>
      </c>
      <c r="AU108" s="88" t="s">
        <v>312</v>
      </c>
      <c r="AV108" s="252" t="s">
        <v>96</v>
      </c>
      <c r="AW108" s="263"/>
    </row>
    <row r="109" spans="2:49" x14ac:dyDescent="0.35">
      <c r="B109" s="234"/>
      <c r="C109" s="251"/>
      <c r="D109" s="90" t="s">
        <v>345</v>
      </c>
      <c r="E109" s="91"/>
      <c r="F109" s="91"/>
      <c r="G109" s="91"/>
      <c r="H109" s="91">
        <v>139004931.41</v>
      </c>
      <c r="I109" s="91">
        <v>17858385.420000002</v>
      </c>
      <c r="J109" s="91">
        <v>20152014.359999999</v>
      </c>
      <c r="K109" s="91">
        <v>20097598.82</v>
      </c>
      <c r="L109" s="91">
        <v>7179625.7400000002</v>
      </c>
      <c r="M109" s="91">
        <v>225811.25</v>
      </c>
      <c r="N109" s="91">
        <v>1385804.48</v>
      </c>
      <c r="O109" s="91">
        <v>117381114.27</v>
      </c>
      <c r="P109" s="91">
        <v>234455914.66999999</v>
      </c>
      <c r="Q109" s="91">
        <v>170405047.40000001</v>
      </c>
      <c r="R109" s="91">
        <v>89474446.989999995</v>
      </c>
      <c r="S109" s="91">
        <v>30500018.149999999</v>
      </c>
      <c r="T109" s="91"/>
      <c r="U109" s="91">
        <v>118504.25</v>
      </c>
      <c r="V109" s="91"/>
      <c r="W109" s="91">
        <v>33181261.379999999</v>
      </c>
      <c r="X109" s="91">
        <v>84916709.840000004</v>
      </c>
      <c r="Y109" s="91">
        <v>3365882.15</v>
      </c>
      <c r="Z109" s="91">
        <v>78008406.379999995</v>
      </c>
      <c r="AA109" s="91">
        <v>49050855.869999997</v>
      </c>
      <c r="AB109" s="91">
        <v>58742006.479999997</v>
      </c>
      <c r="AC109" s="91">
        <v>0</v>
      </c>
      <c r="AD109" s="91">
        <v>1440602094.98</v>
      </c>
      <c r="AE109" s="91">
        <v>9327530230.2600002</v>
      </c>
      <c r="AF109" s="91"/>
      <c r="AG109" s="91">
        <v>6685138.0499999998</v>
      </c>
      <c r="AH109" s="91"/>
      <c r="AI109" s="91">
        <v>193506.81</v>
      </c>
      <c r="AJ109" s="91"/>
      <c r="AK109" s="91">
        <v>69443216.140000001</v>
      </c>
      <c r="AL109" s="91">
        <v>93614735.780000001</v>
      </c>
      <c r="AM109" s="91">
        <v>1315356974.4300001</v>
      </c>
      <c r="AN109" s="91">
        <v>4878027.8</v>
      </c>
      <c r="AO109" s="91">
        <v>12745880.810000001</v>
      </c>
      <c r="AP109" s="91">
        <v>7265120.5199999996</v>
      </c>
      <c r="AQ109" s="91">
        <v>131608214.52</v>
      </c>
      <c r="AR109" s="91">
        <v>21956756.170000002</v>
      </c>
      <c r="AS109" s="91"/>
      <c r="AT109" s="91">
        <v>13587384235.58</v>
      </c>
      <c r="AU109" s="90" t="s">
        <v>344</v>
      </c>
      <c r="AV109" s="253"/>
      <c r="AW109" s="263"/>
    </row>
    <row r="110" spans="2:49" x14ac:dyDescent="0.35">
      <c r="B110" s="234"/>
      <c r="C110" s="250" t="s">
        <v>81</v>
      </c>
      <c r="D110" s="88" t="s">
        <v>313</v>
      </c>
      <c r="E110" s="89">
        <v>1174</v>
      </c>
      <c r="F110" s="89"/>
      <c r="G110" s="89"/>
      <c r="H110" s="89">
        <v>18649</v>
      </c>
      <c r="I110" s="89">
        <v>3346</v>
      </c>
      <c r="J110" s="89">
        <v>6541</v>
      </c>
      <c r="K110" s="89">
        <v>5652</v>
      </c>
      <c r="L110" s="89">
        <v>4013</v>
      </c>
      <c r="M110" s="89">
        <v>434</v>
      </c>
      <c r="N110" s="89">
        <v>132</v>
      </c>
      <c r="O110" s="89">
        <v>111141</v>
      </c>
      <c r="P110" s="89">
        <v>111029</v>
      </c>
      <c r="Q110" s="89">
        <v>92922</v>
      </c>
      <c r="R110" s="89">
        <v>125138</v>
      </c>
      <c r="S110" s="89">
        <v>15814</v>
      </c>
      <c r="T110" s="89"/>
      <c r="U110" s="89">
        <v>2337</v>
      </c>
      <c r="V110" s="89"/>
      <c r="W110" s="89">
        <v>12670</v>
      </c>
      <c r="X110" s="89">
        <v>25916</v>
      </c>
      <c r="Y110" s="89">
        <v>377</v>
      </c>
      <c r="Z110" s="89">
        <v>33603</v>
      </c>
      <c r="AA110" s="89">
        <v>24271</v>
      </c>
      <c r="AB110" s="89">
        <v>13555</v>
      </c>
      <c r="AC110" s="89">
        <v>0</v>
      </c>
      <c r="AD110" s="89">
        <v>189093</v>
      </c>
      <c r="AE110" s="89">
        <v>1883085</v>
      </c>
      <c r="AF110" s="89">
        <v>13</v>
      </c>
      <c r="AG110" s="89">
        <v>3197</v>
      </c>
      <c r="AH110" s="89"/>
      <c r="AI110" s="89">
        <v>2326</v>
      </c>
      <c r="AJ110" s="89">
        <v>12880</v>
      </c>
      <c r="AK110" s="89">
        <v>33031</v>
      </c>
      <c r="AL110" s="89">
        <v>21868</v>
      </c>
      <c r="AM110" s="89">
        <v>365835</v>
      </c>
      <c r="AN110" s="89">
        <v>6670</v>
      </c>
      <c r="AO110" s="89">
        <v>6</v>
      </c>
      <c r="AP110" s="89">
        <v>3633</v>
      </c>
      <c r="AQ110" s="89">
        <v>14296</v>
      </c>
      <c r="AR110" s="89">
        <v>2118</v>
      </c>
      <c r="AS110" s="89"/>
      <c r="AT110" s="89">
        <v>3146765</v>
      </c>
      <c r="AU110" s="88" t="s">
        <v>312</v>
      </c>
      <c r="AV110" s="252" t="s">
        <v>97</v>
      </c>
      <c r="AW110" s="263"/>
    </row>
    <row r="111" spans="2:49" x14ac:dyDescent="0.35">
      <c r="B111" s="235"/>
      <c r="C111" s="251"/>
      <c r="D111" s="90" t="s">
        <v>345</v>
      </c>
      <c r="E111" s="91">
        <v>2511837.89</v>
      </c>
      <c r="F111" s="91"/>
      <c r="G111" s="91"/>
      <c r="H111" s="91">
        <v>78405689</v>
      </c>
      <c r="I111" s="91">
        <v>12501507.390000001</v>
      </c>
      <c r="J111" s="91">
        <v>23641498.960000001</v>
      </c>
      <c r="K111" s="91">
        <v>32297033.5</v>
      </c>
      <c r="L111" s="91">
        <v>11446707.57</v>
      </c>
      <c r="M111" s="91">
        <v>698669.28</v>
      </c>
      <c r="N111" s="91">
        <v>215327.92</v>
      </c>
      <c r="O111" s="91">
        <v>171462891.18000001</v>
      </c>
      <c r="P111" s="91">
        <v>308559642.55000001</v>
      </c>
      <c r="Q111" s="91">
        <v>243681410.24000001</v>
      </c>
      <c r="R111" s="91">
        <v>102183485.53</v>
      </c>
      <c r="S111" s="91">
        <v>37341825.75</v>
      </c>
      <c r="T111" s="91"/>
      <c r="U111" s="91">
        <v>20539952.350000001</v>
      </c>
      <c r="V111" s="91"/>
      <c r="W111" s="91">
        <v>22401048.760000002</v>
      </c>
      <c r="X111" s="91">
        <v>141623685.25999999</v>
      </c>
      <c r="Y111" s="91">
        <v>878704.48</v>
      </c>
      <c r="Z111" s="91">
        <v>254295058.16999999</v>
      </c>
      <c r="AA111" s="91">
        <v>96419878.769999996</v>
      </c>
      <c r="AB111" s="91">
        <v>46286147.770000003</v>
      </c>
      <c r="AC111" s="91">
        <v>0</v>
      </c>
      <c r="AD111" s="91">
        <v>1188968433.01</v>
      </c>
      <c r="AE111" s="91">
        <v>12564296975.459999</v>
      </c>
      <c r="AF111" s="91">
        <v>47001.56</v>
      </c>
      <c r="AG111" s="91">
        <v>11715572.49</v>
      </c>
      <c r="AH111" s="91"/>
      <c r="AI111" s="91">
        <v>9654650.75</v>
      </c>
      <c r="AJ111" s="91">
        <v>36176134.869999997</v>
      </c>
      <c r="AK111" s="91">
        <v>78484018.969999999</v>
      </c>
      <c r="AL111" s="91">
        <v>94418474.109999999</v>
      </c>
      <c r="AM111" s="91">
        <v>1503210687.8</v>
      </c>
      <c r="AN111" s="91">
        <v>13742387.119999999</v>
      </c>
      <c r="AO111" s="91">
        <v>14942.62</v>
      </c>
      <c r="AP111" s="91">
        <v>15769851.970000001</v>
      </c>
      <c r="AQ111" s="91">
        <v>123087998.72</v>
      </c>
      <c r="AR111" s="91">
        <v>20807614.98</v>
      </c>
      <c r="AS111" s="91"/>
      <c r="AT111" s="91">
        <v>17267786746.75</v>
      </c>
      <c r="AU111" s="90" t="s">
        <v>344</v>
      </c>
      <c r="AV111" s="253"/>
      <c r="AW111" s="264"/>
    </row>
    <row r="112" spans="2:49" x14ac:dyDescent="0.35">
      <c r="B112" s="254" t="s">
        <v>82</v>
      </c>
      <c r="C112" s="255"/>
      <c r="D112" s="92" t="s">
        <v>313</v>
      </c>
      <c r="E112" s="93">
        <v>8111</v>
      </c>
      <c r="F112" s="93"/>
      <c r="G112" s="93"/>
      <c r="H112" s="93">
        <v>261433</v>
      </c>
      <c r="I112" s="93">
        <v>11751</v>
      </c>
      <c r="J112" s="93">
        <v>27067</v>
      </c>
      <c r="K112" s="93">
        <v>17129</v>
      </c>
      <c r="L112" s="93">
        <v>92412</v>
      </c>
      <c r="M112" s="93">
        <v>25375</v>
      </c>
      <c r="N112" s="93">
        <v>39735</v>
      </c>
      <c r="O112" s="93">
        <v>1033149</v>
      </c>
      <c r="P112" s="93">
        <v>1270222</v>
      </c>
      <c r="Q112" s="93">
        <v>1301007</v>
      </c>
      <c r="R112" s="93">
        <v>1393294</v>
      </c>
      <c r="S112" s="93">
        <v>326194</v>
      </c>
      <c r="T112" s="93"/>
      <c r="U112" s="93">
        <v>13077</v>
      </c>
      <c r="V112" s="93">
        <v>262</v>
      </c>
      <c r="W112" s="93">
        <v>181455</v>
      </c>
      <c r="X112" s="93">
        <v>140010</v>
      </c>
      <c r="Y112" s="93">
        <v>9516</v>
      </c>
      <c r="Z112" s="93">
        <v>207175</v>
      </c>
      <c r="AA112" s="93">
        <v>175320</v>
      </c>
      <c r="AB112" s="93">
        <v>55987</v>
      </c>
      <c r="AC112" s="93">
        <v>237</v>
      </c>
      <c r="AD112" s="93">
        <v>2072971</v>
      </c>
      <c r="AE112" s="93">
        <v>17447529</v>
      </c>
      <c r="AF112" s="93">
        <v>13</v>
      </c>
      <c r="AG112" s="93">
        <v>48669</v>
      </c>
      <c r="AH112" s="93">
        <v>1207</v>
      </c>
      <c r="AI112" s="93">
        <v>9409</v>
      </c>
      <c r="AJ112" s="93">
        <v>14938</v>
      </c>
      <c r="AK112" s="93">
        <v>283879</v>
      </c>
      <c r="AL112" s="93">
        <v>244106</v>
      </c>
      <c r="AM112" s="93">
        <v>2698880</v>
      </c>
      <c r="AN112" s="93">
        <v>161842</v>
      </c>
      <c r="AO112" s="93">
        <v>2462</v>
      </c>
      <c r="AP112" s="93">
        <v>11134</v>
      </c>
      <c r="AQ112" s="93">
        <v>125899</v>
      </c>
      <c r="AR112" s="93">
        <v>5294</v>
      </c>
      <c r="AS112" s="93">
        <v>9293</v>
      </c>
      <c r="AT112" s="93">
        <v>29727443</v>
      </c>
      <c r="AU112" s="92" t="s">
        <v>312</v>
      </c>
      <c r="AV112" s="258" t="s">
        <v>98</v>
      </c>
      <c r="AW112" s="259"/>
    </row>
    <row r="113" spans="2:49" x14ac:dyDescent="0.35">
      <c r="B113" s="256"/>
      <c r="C113" s="257"/>
      <c r="D113" s="94" t="s">
        <v>345</v>
      </c>
      <c r="E113" s="95">
        <v>22176634.350000001</v>
      </c>
      <c r="F113" s="95"/>
      <c r="G113" s="95"/>
      <c r="H113" s="95">
        <v>1539573847.4300001</v>
      </c>
      <c r="I113" s="95">
        <v>55494741.399999999</v>
      </c>
      <c r="J113" s="95">
        <v>80430869.239999995</v>
      </c>
      <c r="K113" s="95">
        <v>89919311.370000005</v>
      </c>
      <c r="L113" s="95">
        <v>280666073.25999999</v>
      </c>
      <c r="M113" s="95">
        <v>113093725.2</v>
      </c>
      <c r="N113" s="95">
        <v>121854146.83</v>
      </c>
      <c r="O113" s="95">
        <v>1346960875.8199999</v>
      </c>
      <c r="P113" s="95">
        <v>3463699101.5999999</v>
      </c>
      <c r="Q113" s="95">
        <v>2361776375.8099999</v>
      </c>
      <c r="R113" s="95">
        <v>1493114307.29</v>
      </c>
      <c r="S113" s="95">
        <v>1359357655.96</v>
      </c>
      <c r="T113" s="95"/>
      <c r="U113" s="95">
        <v>53331503.43</v>
      </c>
      <c r="V113" s="95">
        <v>114718.74</v>
      </c>
      <c r="W113" s="95">
        <v>326957358.20999998</v>
      </c>
      <c r="X113" s="95">
        <v>424541192.48000002</v>
      </c>
      <c r="Y113" s="95">
        <v>16446482.82</v>
      </c>
      <c r="Z113" s="95">
        <v>1033384068.01</v>
      </c>
      <c r="AA113" s="95">
        <v>588685138.29999995</v>
      </c>
      <c r="AB113" s="95">
        <v>219926849.50999999</v>
      </c>
      <c r="AC113" s="95">
        <v>173708.09000000358</v>
      </c>
      <c r="AD113" s="95">
        <v>11810285749.65</v>
      </c>
      <c r="AE113" s="95">
        <v>128809577011.55</v>
      </c>
      <c r="AF113" s="95">
        <v>47001.56</v>
      </c>
      <c r="AG113" s="95">
        <v>139146310.00999999</v>
      </c>
      <c r="AH113" s="95">
        <v>11210376.18</v>
      </c>
      <c r="AI113" s="95">
        <v>18116327.949999999</v>
      </c>
      <c r="AJ113" s="95">
        <v>38104647.130000003</v>
      </c>
      <c r="AK113" s="95">
        <v>484167576.43000001</v>
      </c>
      <c r="AL113" s="95">
        <v>716012324.10000002</v>
      </c>
      <c r="AM113" s="95">
        <v>10269193685.049999</v>
      </c>
      <c r="AN113" s="95">
        <v>304454139.97000003</v>
      </c>
      <c r="AO113" s="95">
        <v>16266390.960000001</v>
      </c>
      <c r="AP113" s="95">
        <v>85278253.269999996</v>
      </c>
      <c r="AQ113" s="95">
        <v>752637423.79999995</v>
      </c>
      <c r="AR113" s="95">
        <v>57608358.549999997</v>
      </c>
      <c r="AS113" s="95">
        <v>20390085.010000002</v>
      </c>
      <c r="AT113" s="95">
        <v>168524174346.32001</v>
      </c>
      <c r="AU113" s="94" t="s">
        <v>344</v>
      </c>
      <c r="AV113" s="260"/>
      <c r="AW113" s="261"/>
    </row>
    <row r="114" spans="2:49" x14ac:dyDescent="0.35">
      <c r="B114" s="233">
        <v>2025</v>
      </c>
      <c r="C114" s="250" t="s">
        <v>70</v>
      </c>
      <c r="D114" s="88" t="s">
        <v>313</v>
      </c>
      <c r="E114" s="89">
        <v>0</v>
      </c>
      <c r="F114" s="89">
        <v>0</v>
      </c>
      <c r="G114" s="89">
        <v>0</v>
      </c>
      <c r="H114" s="89">
        <v>28981</v>
      </c>
      <c r="I114" s="89">
        <v>1116</v>
      </c>
      <c r="J114" s="89">
        <v>7416</v>
      </c>
      <c r="K114" s="89">
        <v>8922</v>
      </c>
      <c r="L114" s="89">
        <v>4068</v>
      </c>
      <c r="M114" s="89">
        <v>2721</v>
      </c>
      <c r="N114" s="89">
        <v>788</v>
      </c>
      <c r="O114" s="89">
        <v>88876</v>
      </c>
      <c r="P114" s="89">
        <v>108977</v>
      </c>
      <c r="Q114" s="89">
        <v>168356</v>
      </c>
      <c r="R114" s="89">
        <v>205353</v>
      </c>
      <c r="S114" s="89">
        <v>21828</v>
      </c>
      <c r="T114" s="89">
        <v>0</v>
      </c>
      <c r="U114" s="89">
        <v>46</v>
      </c>
      <c r="V114" s="89">
        <v>0</v>
      </c>
      <c r="W114" s="89">
        <v>16707</v>
      </c>
      <c r="X114" s="89">
        <v>32281</v>
      </c>
      <c r="Y114" s="89">
        <v>3393</v>
      </c>
      <c r="Z114" s="89">
        <v>11376</v>
      </c>
      <c r="AA114" s="89">
        <v>21880</v>
      </c>
      <c r="AB114" s="89">
        <v>16752</v>
      </c>
      <c r="AC114" s="89">
        <v>8</v>
      </c>
      <c r="AD114" s="89">
        <v>106441</v>
      </c>
      <c r="AE114" s="89">
        <v>2307359</v>
      </c>
      <c r="AF114" s="89">
        <v>5</v>
      </c>
      <c r="AG114" s="89">
        <v>1829</v>
      </c>
      <c r="AH114" s="89">
        <v>0</v>
      </c>
      <c r="AI114" s="89">
        <v>3942</v>
      </c>
      <c r="AJ114" s="89">
        <v>17850</v>
      </c>
      <c r="AK114" s="89">
        <v>27477</v>
      </c>
      <c r="AL114" s="89">
        <v>24963</v>
      </c>
      <c r="AM114" s="89">
        <v>279274</v>
      </c>
      <c r="AN114" s="89">
        <v>6910</v>
      </c>
      <c r="AO114" s="89">
        <v>8</v>
      </c>
      <c r="AP114" s="89">
        <v>5476</v>
      </c>
      <c r="AQ114" s="89">
        <v>17514</v>
      </c>
      <c r="AR114" s="89">
        <v>4411</v>
      </c>
      <c r="AS114" s="89">
        <v>0</v>
      </c>
      <c r="AT114" s="89">
        <v>3553304</v>
      </c>
      <c r="AU114" s="88" t="s">
        <v>312</v>
      </c>
      <c r="AV114" s="252" t="s">
        <v>86</v>
      </c>
      <c r="AW114" s="262">
        <v>2025</v>
      </c>
    </row>
    <row r="115" spans="2:49" x14ac:dyDescent="0.35">
      <c r="B115" s="234"/>
      <c r="C115" s="251"/>
      <c r="D115" s="90" t="s">
        <v>345</v>
      </c>
      <c r="E115" s="91">
        <v>0</v>
      </c>
      <c r="F115" s="91">
        <v>0</v>
      </c>
      <c r="G115" s="91">
        <v>0</v>
      </c>
      <c r="H115" s="91">
        <v>121296150.95999999</v>
      </c>
      <c r="I115" s="91">
        <v>3458029.53</v>
      </c>
      <c r="J115" s="91">
        <v>41967299.030000001</v>
      </c>
      <c r="K115" s="91">
        <v>53328960.880000003</v>
      </c>
      <c r="L115" s="91">
        <v>14954164.74</v>
      </c>
      <c r="M115" s="91">
        <v>7113277.3300000001</v>
      </c>
      <c r="N115" s="91">
        <v>1492082.66</v>
      </c>
      <c r="O115" s="91">
        <v>115730920</v>
      </c>
      <c r="P115" s="91">
        <v>208518377.81</v>
      </c>
      <c r="Q115" s="91">
        <v>161422624.74000001</v>
      </c>
      <c r="R115" s="91">
        <v>163117583.09999999</v>
      </c>
      <c r="S115" s="91">
        <v>46016049.450000003</v>
      </c>
      <c r="T115" s="91">
        <v>0</v>
      </c>
      <c r="U115" s="91">
        <v>61789.31</v>
      </c>
      <c r="V115" s="91">
        <v>0</v>
      </c>
      <c r="W115" s="91">
        <v>31783272.039999999</v>
      </c>
      <c r="X115" s="91">
        <v>114688011.34999999</v>
      </c>
      <c r="Y115" s="91">
        <v>14984445.15</v>
      </c>
      <c r="Z115" s="91">
        <v>27825779.640000001</v>
      </c>
      <c r="AA115" s="91">
        <v>91448114.040000007</v>
      </c>
      <c r="AB115" s="91">
        <v>49070311.159999996</v>
      </c>
      <c r="AC115" s="91">
        <v>22916.53</v>
      </c>
      <c r="AD115" s="91">
        <v>495269861.79000002</v>
      </c>
      <c r="AE115" s="91">
        <v>13990177186.68</v>
      </c>
      <c r="AF115" s="91">
        <v>23659.17</v>
      </c>
      <c r="AG115" s="91">
        <v>6152730.3899999997</v>
      </c>
      <c r="AH115" s="91">
        <v>0</v>
      </c>
      <c r="AI115" s="91">
        <v>23221844.870000001</v>
      </c>
      <c r="AJ115" s="91">
        <v>62501761.229999997</v>
      </c>
      <c r="AK115" s="91">
        <v>41549716.140000001</v>
      </c>
      <c r="AL115" s="91">
        <v>58766807.75</v>
      </c>
      <c r="AM115" s="91">
        <v>700548595.90999997</v>
      </c>
      <c r="AN115" s="91">
        <v>8747722.7599999998</v>
      </c>
      <c r="AO115" s="91">
        <v>20684.939999999999</v>
      </c>
      <c r="AP115" s="91">
        <v>22667930.510000002</v>
      </c>
      <c r="AQ115" s="91">
        <v>100672888.37</v>
      </c>
      <c r="AR115" s="91">
        <v>13355754.4</v>
      </c>
      <c r="AS115" s="91">
        <v>0</v>
      </c>
      <c r="AT115" s="91">
        <v>16791977304.360001</v>
      </c>
      <c r="AU115" s="90" t="s">
        <v>344</v>
      </c>
      <c r="AV115" s="253"/>
      <c r="AW115" s="263"/>
    </row>
    <row r="116" spans="2:49" x14ac:dyDescent="0.35">
      <c r="B116" s="234"/>
      <c r="C116" s="250" t="s">
        <v>71</v>
      </c>
      <c r="D116" s="88" t="s">
        <v>313</v>
      </c>
      <c r="E116" s="89">
        <v>739</v>
      </c>
      <c r="F116" s="89">
        <v>0</v>
      </c>
      <c r="G116" s="89">
        <v>0</v>
      </c>
      <c r="H116" s="89">
        <v>20120</v>
      </c>
      <c r="I116" s="89">
        <v>2217</v>
      </c>
      <c r="J116" s="89">
        <v>7039</v>
      </c>
      <c r="K116" s="89">
        <v>4179</v>
      </c>
      <c r="L116" s="89">
        <v>12258</v>
      </c>
      <c r="M116" s="89">
        <v>32788</v>
      </c>
      <c r="N116" s="89">
        <v>3510</v>
      </c>
      <c r="O116" s="89">
        <v>58436</v>
      </c>
      <c r="P116" s="89">
        <v>76464</v>
      </c>
      <c r="Q116" s="89">
        <v>111470</v>
      </c>
      <c r="R116" s="89">
        <v>113028</v>
      </c>
      <c r="S116" s="89">
        <v>8662</v>
      </c>
      <c r="T116" s="89">
        <v>0</v>
      </c>
      <c r="U116" s="89">
        <v>0</v>
      </c>
      <c r="V116" s="89">
        <v>0</v>
      </c>
      <c r="W116" s="89">
        <v>17163</v>
      </c>
      <c r="X116" s="89">
        <v>19150</v>
      </c>
      <c r="Y116" s="89">
        <v>3672</v>
      </c>
      <c r="Z116" s="89">
        <v>37233</v>
      </c>
      <c r="AA116" s="89">
        <v>22281</v>
      </c>
      <c r="AB116" s="89">
        <v>12381</v>
      </c>
      <c r="AC116" s="89">
        <v>0</v>
      </c>
      <c r="AD116" s="89">
        <v>163130</v>
      </c>
      <c r="AE116" s="89">
        <v>2146053</v>
      </c>
      <c r="AF116" s="89">
        <v>4</v>
      </c>
      <c r="AG116" s="89">
        <v>1215</v>
      </c>
      <c r="AH116" s="89">
        <v>0</v>
      </c>
      <c r="AI116" s="89">
        <v>855</v>
      </c>
      <c r="AJ116" s="89">
        <v>902</v>
      </c>
      <c r="AK116" s="89">
        <v>14680</v>
      </c>
      <c r="AL116" s="89">
        <v>14427</v>
      </c>
      <c r="AM116" s="89">
        <v>212789</v>
      </c>
      <c r="AN116" s="89">
        <v>9473</v>
      </c>
      <c r="AO116" s="89">
        <v>4</v>
      </c>
      <c r="AP116" s="89">
        <v>5820</v>
      </c>
      <c r="AQ116" s="89">
        <v>11547</v>
      </c>
      <c r="AR116" s="89">
        <v>1814</v>
      </c>
      <c r="AS116" s="89">
        <v>0</v>
      </c>
      <c r="AT116" s="89">
        <v>3145503</v>
      </c>
      <c r="AU116" s="88" t="s">
        <v>312</v>
      </c>
      <c r="AV116" s="252" t="s">
        <v>87</v>
      </c>
      <c r="AW116" s="263"/>
    </row>
    <row r="117" spans="2:49" x14ac:dyDescent="0.35">
      <c r="B117" s="234"/>
      <c r="C117" s="251"/>
      <c r="D117" s="90" t="s">
        <v>345</v>
      </c>
      <c r="E117" s="91">
        <v>1753939.82</v>
      </c>
      <c r="F117" s="91">
        <v>0</v>
      </c>
      <c r="G117" s="91">
        <v>0</v>
      </c>
      <c r="H117" s="91">
        <v>70245897.620000005</v>
      </c>
      <c r="I117" s="91">
        <v>5449056.9800000004</v>
      </c>
      <c r="J117" s="91">
        <v>46713876.729999997</v>
      </c>
      <c r="K117" s="91">
        <v>31974592.399999999</v>
      </c>
      <c r="L117" s="91">
        <v>36740774.799999997</v>
      </c>
      <c r="M117" s="91">
        <v>139527176.56</v>
      </c>
      <c r="N117" s="91">
        <v>12877040.18</v>
      </c>
      <c r="O117" s="91">
        <v>102081753.34</v>
      </c>
      <c r="P117" s="91">
        <v>233042391.69999999</v>
      </c>
      <c r="Q117" s="91">
        <v>133302289.42</v>
      </c>
      <c r="R117" s="91">
        <v>100574086.2</v>
      </c>
      <c r="S117" s="91">
        <v>16289229.02</v>
      </c>
      <c r="T117" s="91">
        <v>0</v>
      </c>
      <c r="U117" s="91">
        <v>0</v>
      </c>
      <c r="V117" s="91">
        <v>0</v>
      </c>
      <c r="W117" s="91">
        <v>50488060.579999998</v>
      </c>
      <c r="X117" s="91">
        <v>67591915</v>
      </c>
      <c r="Y117" s="91">
        <v>7927471.0300000003</v>
      </c>
      <c r="Z117" s="91">
        <v>325514777.45999998</v>
      </c>
      <c r="AA117" s="91">
        <v>108300540.13</v>
      </c>
      <c r="AB117" s="91">
        <v>43013392.32</v>
      </c>
      <c r="AC117" s="91">
        <v>0</v>
      </c>
      <c r="AD117" s="91">
        <v>1082302879.3299999</v>
      </c>
      <c r="AE117" s="91">
        <v>14669707929.530001</v>
      </c>
      <c r="AF117" s="91">
        <v>12731.92</v>
      </c>
      <c r="AG117" s="91">
        <v>3419504.32</v>
      </c>
      <c r="AH117" s="91">
        <v>0</v>
      </c>
      <c r="AI117" s="91">
        <v>7173718.3200000003</v>
      </c>
      <c r="AJ117" s="91">
        <v>431818.03</v>
      </c>
      <c r="AK117" s="91">
        <v>19301797.350000001</v>
      </c>
      <c r="AL117" s="91">
        <v>26715118</v>
      </c>
      <c r="AM117" s="91">
        <v>731119960.75999999</v>
      </c>
      <c r="AN117" s="91">
        <v>9340569.5999999996</v>
      </c>
      <c r="AO117" s="91">
        <v>19423.48</v>
      </c>
      <c r="AP117" s="91">
        <v>23310129.469999999</v>
      </c>
      <c r="AQ117" s="91">
        <v>81294541.5</v>
      </c>
      <c r="AR117" s="91">
        <v>12005375.539999999</v>
      </c>
      <c r="AS117" s="91">
        <v>0</v>
      </c>
      <c r="AT117" s="91">
        <v>18199563758.439999</v>
      </c>
      <c r="AU117" s="90" t="s">
        <v>344</v>
      </c>
      <c r="AV117" s="253"/>
      <c r="AW117" s="263"/>
    </row>
    <row r="118" spans="2:49" x14ac:dyDescent="0.35">
      <c r="B118" s="234"/>
      <c r="C118" s="250" t="s">
        <v>72</v>
      </c>
      <c r="D118" s="88" t="s">
        <v>313</v>
      </c>
      <c r="E118" s="89">
        <v>0</v>
      </c>
      <c r="F118" s="89">
        <v>0</v>
      </c>
      <c r="G118" s="89">
        <v>0</v>
      </c>
      <c r="H118" s="89">
        <v>19834</v>
      </c>
      <c r="I118" s="89">
        <v>3246</v>
      </c>
      <c r="J118" s="89">
        <v>5969</v>
      </c>
      <c r="K118" s="89">
        <v>701</v>
      </c>
      <c r="L118" s="89">
        <v>5658</v>
      </c>
      <c r="M118" s="89">
        <v>6249</v>
      </c>
      <c r="N118" s="89">
        <v>901</v>
      </c>
      <c r="O118" s="89">
        <v>73155</v>
      </c>
      <c r="P118" s="89">
        <v>64085</v>
      </c>
      <c r="Q118" s="89">
        <v>121534</v>
      </c>
      <c r="R118" s="89">
        <v>99267</v>
      </c>
      <c r="S118" s="89">
        <v>22502</v>
      </c>
      <c r="T118" s="89">
        <v>0</v>
      </c>
      <c r="U118" s="89">
        <v>605</v>
      </c>
      <c r="V118" s="89">
        <v>0</v>
      </c>
      <c r="W118" s="89">
        <v>13738</v>
      </c>
      <c r="X118" s="89">
        <v>30460</v>
      </c>
      <c r="Y118" s="89">
        <v>3547</v>
      </c>
      <c r="Z118" s="89">
        <v>7399</v>
      </c>
      <c r="AA118" s="89">
        <v>32397</v>
      </c>
      <c r="AB118" s="89">
        <v>19274</v>
      </c>
      <c r="AC118" s="89">
        <v>0</v>
      </c>
      <c r="AD118" s="89">
        <v>114269</v>
      </c>
      <c r="AE118" s="89">
        <v>2034169</v>
      </c>
      <c r="AF118" s="89">
        <v>0</v>
      </c>
      <c r="AG118" s="89">
        <v>115</v>
      </c>
      <c r="AH118" s="89">
        <v>283</v>
      </c>
      <c r="AI118" s="89">
        <v>0</v>
      </c>
      <c r="AJ118" s="89">
        <v>0</v>
      </c>
      <c r="AK118" s="89">
        <v>7384</v>
      </c>
      <c r="AL118" s="89">
        <v>8783</v>
      </c>
      <c r="AM118" s="89">
        <v>158920</v>
      </c>
      <c r="AN118" s="89">
        <v>2390</v>
      </c>
      <c r="AO118" s="89">
        <v>0</v>
      </c>
      <c r="AP118" s="89">
        <v>9037</v>
      </c>
      <c r="AQ118" s="89">
        <v>20011</v>
      </c>
      <c r="AR118" s="89">
        <v>1162</v>
      </c>
      <c r="AS118" s="89">
        <v>331</v>
      </c>
      <c r="AT118" s="89">
        <v>2887375</v>
      </c>
      <c r="AU118" s="88" t="s">
        <v>312</v>
      </c>
      <c r="AV118" s="252" t="s">
        <v>88</v>
      </c>
      <c r="AW118" s="263"/>
    </row>
    <row r="119" spans="2:49" x14ac:dyDescent="0.35">
      <c r="B119" s="234"/>
      <c r="C119" s="251"/>
      <c r="D119" s="90" t="s">
        <v>345</v>
      </c>
      <c r="E119" s="91">
        <v>0</v>
      </c>
      <c r="F119" s="91">
        <v>0</v>
      </c>
      <c r="G119" s="91">
        <v>0</v>
      </c>
      <c r="H119" s="91">
        <v>85970048.260000005</v>
      </c>
      <c r="I119" s="91">
        <v>8557740.3300000001</v>
      </c>
      <c r="J119" s="91">
        <v>26414749.210000001</v>
      </c>
      <c r="K119" s="91">
        <v>4444709.07</v>
      </c>
      <c r="L119" s="91">
        <v>19138626.48</v>
      </c>
      <c r="M119" s="91">
        <v>23608918.75</v>
      </c>
      <c r="N119" s="91">
        <v>4406858.46</v>
      </c>
      <c r="O119" s="91">
        <v>102916845.05</v>
      </c>
      <c r="P119" s="91">
        <v>117003708.90000001</v>
      </c>
      <c r="Q119" s="91">
        <v>108955195.75</v>
      </c>
      <c r="R119" s="91">
        <v>91809131.269999996</v>
      </c>
      <c r="S119" s="91">
        <v>48595011.640000001</v>
      </c>
      <c r="T119" s="91">
        <v>0</v>
      </c>
      <c r="U119" s="91">
        <v>4150049.73</v>
      </c>
      <c r="V119" s="91">
        <v>0</v>
      </c>
      <c r="W119" s="91">
        <v>28773494.059999999</v>
      </c>
      <c r="X119" s="91">
        <v>70816515.079999998</v>
      </c>
      <c r="Y119" s="91">
        <v>9990428.3900000006</v>
      </c>
      <c r="Z119" s="91">
        <v>43674865.909999996</v>
      </c>
      <c r="AA119" s="91">
        <v>125412782.04000001</v>
      </c>
      <c r="AB119" s="91">
        <v>55573860.890000001</v>
      </c>
      <c r="AC119" s="91">
        <v>0</v>
      </c>
      <c r="AD119" s="91">
        <v>622273687.98000002</v>
      </c>
      <c r="AE119" s="91">
        <v>14343013498.450001</v>
      </c>
      <c r="AF119" s="91">
        <v>0</v>
      </c>
      <c r="AG119" s="91">
        <v>266305.53999999998</v>
      </c>
      <c r="AH119" s="91">
        <v>3013515.53</v>
      </c>
      <c r="AI119" s="91">
        <v>0</v>
      </c>
      <c r="AJ119" s="91">
        <v>0</v>
      </c>
      <c r="AK119" s="91">
        <v>15158024.26</v>
      </c>
      <c r="AL119" s="91">
        <v>17784117.260000002</v>
      </c>
      <c r="AM119" s="91">
        <v>640065049.69000006</v>
      </c>
      <c r="AN119" s="91">
        <v>2156212.4900000002</v>
      </c>
      <c r="AO119" s="91">
        <v>0</v>
      </c>
      <c r="AP119" s="91">
        <v>54709533.359999999</v>
      </c>
      <c r="AQ119" s="91">
        <v>133175923.3</v>
      </c>
      <c r="AR119" s="91">
        <v>3382785.25</v>
      </c>
      <c r="AS119" s="91">
        <v>1155418</v>
      </c>
      <c r="AT119" s="91">
        <v>16816367610.379999</v>
      </c>
      <c r="AU119" s="90" t="s">
        <v>344</v>
      </c>
      <c r="AV119" s="253"/>
      <c r="AW119" s="263"/>
    </row>
    <row r="120" spans="2:49" x14ac:dyDescent="0.35">
      <c r="B120" s="234"/>
      <c r="C120" s="250" t="s">
        <v>73</v>
      </c>
      <c r="D120" s="88" t="s">
        <v>313</v>
      </c>
      <c r="E120" s="89">
        <v>0</v>
      </c>
      <c r="F120" s="89">
        <v>0</v>
      </c>
      <c r="G120" s="89">
        <v>0</v>
      </c>
      <c r="H120" s="89">
        <v>8297</v>
      </c>
      <c r="I120" s="89">
        <v>199</v>
      </c>
      <c r="J120" s="89">
        <v>1190</v>
      </c>
      <c r="K120" s="89">
        <v>838</v>
      </c>
      <c r="L120" s="89">
        <v>4353</v>
      </c>
      <c r="M120" s="89">
        <v>3464</v>
      </c>
      <c r="N120" s="89">
        <v>78</v>
      </c>
      <c r="O120" s="89">
        <v>64939</v>
      </c>
      <c r="P120" s="89">
        <v>47520</v>
      </c>
      <c r="Q120" s="89">
        <v>78489</v>
      </c>
      <c r="R120" s="89">
        <v>71456</v>
      </c>
      <c r="S120" s="89">
        <v>6269</v>
      </c>
      <c r="T120" s="89">
        <v>0</v>
      </c>
      <c r="U120" s="89">
        <v>672</v>
      </c>
      <c r="V120" s="89">
        <v>0</v>
      </c>
      <c r="W120" s="89">
        <v>15834</v>
      </c>
      <c r="X120" s="89">
        <v>43699</v>
      </c>
      <c r="Y120" s="89">
        <v>1679</v>
      </c>
      <c r="Z120" s="89">
        <v>12943</v>
      </c>
      <c r="AA120" s="89">
        <v>16752</v>
      </c>
      <c r="AB120" s="89">
        <v>4001</v>
      </c>
      <c r="AC120" s="89">
        <v>0</v>
      </c>
      <c r="AD120" s="89">
        <v>173805</v>
      </c>
      <c r="AE120" s="89">
        <v>848159</v>
      </c>
      <c r="AF120" s="89">
        <v>0</v>
      </c>
      <c r="AG120" s="89">
        <v>1906</v>
      </c>
      <c r="AH120" s="89">
        <v>101</v>
      </c>
      <c r="AI120" s="89">
        <v>0</v>
      </c>
      <c r="AJ120" s="89">
        <v>0</v>
      </c>
      <c r="AK120" s="89">
        <v>18602</v>
      </c>
      <c r="AL120" s="89">
        <v>16277</v>
      </c>
      <c r="AM120" s="89">
        <v>155391</v>
      </c>
      <c r="AN120" s="89">
        <v>6130</v>
      </c>
      <c r="AO120" s="89">
        <v>4</v>
      </c>
      <c r="AP120" s="89">
        <v>2887</v>
      </c>
      <c r="AQ120" s="89">
        <v>11183</v>
      </c>
      <c r="AR120" s="89">
        <v>758</v>
      </c>
      <c r="AS120" s="89">
        <v>177</v>
      </c>
      <c r="AT120" s="89">
        <v>1618052</v>
      </c>
      <c r="AU120" s="88" t="s">
        <v>312</v>
      </c>
      <c r="AV120" s="252" t="s">
        <v>89</v>
      </c>
      <c r="AW120" s="263"/>
    </row>
    <row r="121" spans="2:49" x14ac:dyDescent="0.35">
      <c r="B121" s="234"/>
      <c r="C121" s="251"/>
      <c r="D121" s="90" t="s">
        <v>345</v>
      </c>
      <c r="E121" s="91">
        <v>0</v>
      </c>
      <c r="F121" s="91">
        <v>0</v>
      </c>
      <c r="G121" s="91">
        <v>0</v>
      </c>
      <c r="H121" s="91">
        <v>24926006.300000001</v>
      </c>
      <c r="I121" s="91">
        <v>440603.75</v>
      </c>
      <c r="J121" s="91">
        <v>6061478.3700000001</v>
      </c>
      <c r="K121" s="91">
        <v>1966833.33</v>
      </c>
      <c r="L121" s="91">
        <v>14447768.220000001</v>
      </c>
      <c r="M121" s="91">
        <v>12486451.17</v>
      </c>
      <c r="N121" s="91">
        <v>60041.21</v>
      </c>
      <c r="O121" s="91">
        <v>112883837.39</v>
      </c>
      <c r="P121" s="91">
        <v>110971250.31</v>
      </c>
      <c r="Q121" s="91">
        <v>102790311.08</v>
      </c>
      <c r="R121" s="91">
        <v>80455546.569999993</v>
      </c>
      <c r="S121" s="91">
        <v>9075969.9900000002</v>
      </c>
      <c r="T121" s="91">
        <v>0</v>
      </c>
      <c r="U121" s="91">
        <v>2717035.57</v>
      </c>
      <c r="V121" s="91">
        <v>0</v>
      </c>
      <c r="W121" s="91">
        <v>28315932.100000001</v>
      </c>
      <c r="X121" s="91">
        <v>92160125.719999999</v>
      </c>
      <c r="Y121" s="91">
        <v>6712903.0199999996</v>
      </c>
      <c r="Z121" s="91">
        <v>61206645.700000003</v>
      </c>
      <c r="AA121" s="91">
        <v>73228201.079999998</v>
      </c>
      <c r="AB121" s="91">
        <v>13788093.27</v>
      </c>
      <c r="AC121" s="91">
        <v>0</v>
      </c>
      <c r="AD121" s="91">
        <v>1115470321.8199999</v>
      </c>
      <c r="AE121" s="91">
        <v>4786080345.75</v>
      </c>
      <c r="AF121" s="91">
        <v>0</v>
      </c>
      <c r="AG121" s="91">
        <v>8450515.7300000004</v>
      </c>
      <c r="AH121" s="91">
        <v>1158914.8400000001</v>
      </c>
      <c r="AI121" s="91">
        <v>0</v>
      </c>
      <c r="AJ121" s="91">
        <v>0</v>
      </c>
      <c r="AK121" s="91">
        <v>24880550.940000001</v>
      </c>
      <c r="AL121" s="91">
        <v>30849441.93</v>
      </c>
      <c r="AM121" s="91">
        <v>496547224.25</v>
      </c>
      <c r="AN121" s="91">
        <v>8468449.6899999995</v>
      </c>
      <c r="AO121" s="91">
        <v>14273.26</v>
      </c>
      <c r="AP121" s="91">
        <v>18608107.670000002</v>
      </c>
      <c r="AQ121" s="91">
        <v>90342671.069999993</v>
      </c>
      <c r="AR121" s="91">
        <v>2645011.7200000002</v>
      </c>
      <c r="AS121" s="91">
        <v>3212963.18</v>
      </c>
      <c r="AT121" s="91">
        <v>7341423826</v>
      </c>
      <c r="AU121" s="90" t="s">
        <v>344</v>
      </c>
      <c r="AV121" s="253"/>
      <c r="AW121" s="263"/>
    </row>
    <row r="122" spans="2:49" x14ac:dyDescent="0.35">
      <c r="B122" s="234"/>
      <c r="C122" s="250" t="s">
        <v>74</v>
      </c>
      <c r="D122" s="88" t="s">
        <v>313</v>
      </c>
      <c r="E122" s="89">
        <v>492</v>
      </c>
      <c r="F122" s="89">
        <v>0</v>
      </c>
      <c r="G122" s="89">
        <v>123</v>
      </c>
      <c r="H122" s="89">
        <v>5352</v>
      </c>
      <c r="I122" s="89">
        <v>734</v>
      </c>
      <c r="J122" s="89">
        <v>1669</v>
      </c>
      <c r="K122" s="89">
        <v>1384</v>
      </c>
      <c r="L122" s="89">
        <v>1613</v>
      </c>
      <c r="M122" s="89">
        <v>1717</v>
      </c>
      <c r="N122" s="89">
        <v>124</v>
      </c>
      <c r="O122" s="89">
        <v>48376</v>
      </c>
      <c r="P122" s="89">
        <v>72059</v>
      </c>
      <c r="Q122" s="89">
        <v>62497</v>
      </c>
      <c r="R122" s="89">
        <v>60652</v>
      </c>
      <c r="S122" s="89">
        <v>5491</v>
      </c>
      <c r="T122" s="89">
        <v>0</v>
      </c>
      <c r="U122" s="89">
        <v>167</v>
      </c>
      <c r="V122" s="89">
        <v>14</v>
      </c>
      <c r="W122" s="89">
        <v>12281</v>
      </c>
      <c r="X122" s="89">
        <v>15090</v>
      </c>
      <c r="Y122" s="89">
        <v>560</v>
      </c>
      <c r="Z122" s="89">
        <v>15201</v>
      </c>
      <c r="AA122" s="89">
        <v>33095</v>
      </c>
      <c r="AB122" s="89">
        <v>4887</v>
      </c>
      <c r="AC122" s="89">
        <v>0</v>
      </c>
      <c r="AD122" s="89">
        <v>210700</v>
      </c>
      <c r="AE122" s="89">
        <v>42047</v>
      </c>
      <c r="AF122" s="89">
        <v>0</v>
      </c>
      <c r="AG122" s="89">
        <v>5525</v>
      </c>
      <c r="AH122" s="89">
        <v>154</v>
      </c>
      <c r="AI122" s="89">
        <v>539</v>
      </c>
      <c r="AJ122" s="89">
        <v>1977</v>
      </c>
      <c r="AK122" s="89">
        <v>10729</v>
      </c>
      <c r="AL122" s="89">
        <v>11034</v>
      </c>
      <c r="AM122" s="89">
        <v>94251</v>
      </c>
      <c r="AN122" s="89">
        <v>5552</v>
      </c>
      <c r="AO122" s="89">
        <v>0</v>
      </c>
      <c r="AP122" s="89">
        <v>2715</v>
      </c>
      <c r="AQ122" s="89">
        <v>9416</v>
      </c>
      <c r="AR122" s="89">
        <v>1150</v>
      </c>
      <c r="AS122" s="89">
        <v>20</v>
      </c>
      <c r="AT122" s="89">
        <v>739387</v>
      </c>
      <c r="AU122" s="88" t="s">
        <v>312</v>
      </c>
      <c r="AV122" s="252" t="s">
        <v>90</v>
      </c>
      <c r="AW122" s="263"/>
    </row>
    <row r="123" spans="2:49" x14ac:dyDescent="0.35">
      <c r="B123" s="234"/>
      <c r="C123" s="251"/>
      <c r="D123" s="90" t="s">
        <v>345</v>
      </c>
      <c r="E123" s="91">
        <v>5814388.8700000001</v>
      </c>
      <c r="F123" s="91">
        <v>0</v>
      </c>
      <c r="G123" s="91">
        <v>404688.27</v>
      </c>
      <c r="H123" s="91">
        <v>27110254.329999998</v>
      </c>
      <c r="I123" s="91">
        <v>5936344.7999999998</v>
      </c>
      <c r="J123" s="91">
        <v>11903659.27</v>
      </c>
      <c r="K123" s="91">
        <v>10369475.779999999</v>
      </c>
      <c r="L123" s="91">
        <v>3861528.7</v>
      </c>
      <c r="M123" s="91">
        <v>6430829.9900000002</v>
      </c>
      <c r="N123" s="91">
        <v>90925.96</v>
      </c>
      <c r="O123" s="91">
        <v>89429662.319999993</v>
      </c>
      <c r="P123" s="91">
        <v>436816185.83999997</v>
      </c>
      <c r="Q123" s="91">
        <v>87312053.010000005</v>
      </c>
      <c r="R123" s="91">
        <v>128191815.45</v>
      </c>
      <c r="S123" s="91">
        <v>10926156.73</v>
      </c>
      <c r="T123" s="91">
        <v>0</v>
      </c>
      <c r="U123" s="91">
        <v>454757.85</v>
      </c>
      <c r="V123" s="91">
        <v>47974.19</v>
      </c>
      <c r="W123" s="91">
        <v>21649036.829999998</v>
      </c>
      <c r="X123" s="91">
        <v>42440006.780000001</v>
      </c>
      <c r="Y123" s="91">
        <v>1749646.66</v>
      </c>
      <c r="Z123" s="91">
        <v>68697548.590000004</v>
      </c>
      <c r="AA123" s="91">
        <v>288558666.07999998</v>
      </c>
      <c r="AB123" s="91">
        <v>19622571.75</v>
      </c>
      <c r="AC123" s="91">
        <v>0</v>
      </c>
      <c r="AD123" s="91">
        <v>1536705255.73</v>
      </c>
      <c r="AE123" s="91">
        <v>257363796.90000001</v>
      </c>
      <c r="AF123" s="91">
        <v>0</v>
      </c>
      <c r="AG123" s="91">
        <v>44360637.960000001</v>
      </c>
      <c r="AH123" s="91">
        <v>2380552.1</v>
      </c>
      <c r="AI123" s="91">
        <v>810729.19</v>
      </c>
      <c r="AJ123" s="91">
        <v>1621855.12</v>
      </c>
      <c r="AK123" s="91">
        <v>12189796.369999999</v>
      </c>
      <c r="AL123" s="91">
        <v>16411177.439999999</v>
      </c>
      <c r="AM123" s="91">
        <v>436849245.44999999</v>
      </c>
      <c r="AN123" s="91">
        <v>7726113.4299999997</v>
      </c>
      <c r="AO123" s="91">
        <v>0</v>
      </c>
      <c r="AP123" s="91">
        <v>23070884.16</v>
      </c>
      <c r="AQ123" s="91">
        <v>76307467.909999996</v>
      </c>
      <c r="AR123" s="91">
        <v>10844143.689999999</v>
      </c>
      <c r="AS123" s="91">
        <v>109739.2</v>
      </c>
      <c r="AT123" s="91">
        <v>3694569572.6999998</v>
      </c>
      <c r="AU123" s="90" t="s">
        <v>344</v>
      </c>
      <c r="AV123" s="253"/>
      <c r="AW123" s="263"/>
    </row>
    <row r="124" spans="2:49" x14ac:dyDescent="0.35">
      <c r="B124" s="234"/>
      <c r="C124" s="250" t="s">
        <v>75</v>
      </c>
      <c r="D124" s="88" t="s">
        <v>313</v>
      </c>
      <c r="E124" s="89">
        <v>624</v>
      </c>
      <c r="F124" s="89">
        <v>0</v>
      </c>
      <c r="G124" s="89">
        <v>0</v>
      </c>
      <c r="H124" s="89">
        <v>7486</v>
      </c>
      <c r="I124" s="89">
        <v>1879</v>
      </c>
      <c r="J124" s="89">
        <v>1843</v>
      </c>
      <c r="K124" s="89">
        <v>1467</v>
      </c>
      <c r="L124" s="89">
        <v>6628</v>
      </c>
      <c r="M124" s="89">
        <v>2896</v>
      </c>
      <c r="N124" s="89">
        <v>1587</v>
      </c>
      <c r="O124" s="89">
        <v>39997</v>
      </c>
      <c r="P124" s="89">
        <v>54796</v>
      </c>
      <c r="Q124" s="89">
        <v>64160</v>
      </c>
      <c r="R124" s="89">
        <v>73070</v>
      </c>
      <c r="S124" s="89">
        <v>13854</v>
      </c>
      <c r="T124" s="89">
        <v>0</v>
      </c>
      <c r="U124" s="89">
        <v>152</v>
      </c>
      <c r="V124" s="89">
        <v>131</v>
      </c>
      <c r="W124" s="89">
        <v>14079</v>
      </c>
      <c r="X124" s="89">
        <v>12729</v>
      </c>
      <c r="Y124" s="89">
        <v>344</v>
      </c>
      <c r="Z124" s="89">
        <v>11164</v>
      </c>
      <c r="AA124" s="89">
        <v>35332</v>
      </c>
      <c r="AB124" s="89">
        <v>6400</v>
      </c>
      <c r="AC124" s="89">
        <v>0</v>
      </c>
      <c r="AD124" s="89">
        <v>52489</v>
      </c>
      <c r="AE124" s="89">
        <v>1791351</v>
      </c>
      <c r="AF124" s="89">
        <v>0</v>
      </c>
      <c r="AG124" s="89">
        <v>13663</v>
      </c>
      <c r="AH124" s="89">
        <v>1244</v>
      </c>
      <c r="AI124" s="89">
        <v>655</v>
      </c>
      <c r="AJ124" s="89">
        <v>5748</v>
      </c>
      <c r="AK124" s="89">
        <v>16357</v>
      </c>
      <c r="AL124" s="89">
        <v>15392</v>
      </c>
      <c r="AM124" s="89">
        <v>100535</v>
      </c>
      <c r="AN124" s="89">
        <v>3478</v>
      </c>
      <c r="AO124" s="89">
        <v>2</v>
      </c>
      <c r="AP124" s="89">
        <v>2348</v>
      </c>
      <c r="AQ124" s="89">
        <v>8657</v>
      </c>
      <c r="AR124" s="89">
        <v>1330</v>
      </c>
      <c r="AS124" s="89">
        <v>412</v>
      </c>
      <c r="AT124" s="89">
        <v>2364279</v>
      </c>
      <c r="AU124" s="88" t="s">
        <v>312</v>
      </c>
      <c r="AV124" s="252" t="s">
        <v>91</v>
      </c>
      <c r="AW124" s="263"/>
    </row>
    <row r="125" spans="2:49" x14ac:dyDescent="0.35">
      <c r="B125" s="234"/>
      <c r="C125" s="251"/>
      <c r="D125" s="90" t="s">
        <v>345</v>
      </c>
      <c r="E125" s="91">
        <v>4023421.79</v>
      </c>
      <c r="F125" s="91">
        <v>0</v>
      </c>
      <c r="G125" s="91">
        <v>0</v>
      </c>
      <c r="H125" s="91">
        <v>37032316.689999998</v>
      </c>
      <c r="I125" s="91">
        <v>6760308.0599999996</v>
      </c>
      <c r="J125" s="91">
        <v>9311540.9800000004</v>
      </c>
      <c r="K125" s="91">
        <v>7146127.5199999996</v>
      </c>
      <c r="L125" s="91">
        <v>23457440.780000001</v>
      </c>
      <c r="M125" s="91">
        <v>9606297.3100000005</v>
      </c>
      <c r="N125" s="91">
        <v>2358735.14</v>
      </c>
      <c r="O125" s="91">
        <v>66468972.020000003</v>
      </c>
      <c r="P125" s="91">
        <v>237458991.05000001</v>
      </c>
      <c r="Q125" s="91">
        <v>196881342.22999999</v>
      </c>
      <c r="R125" s="91">
        <v>107991394.11</v>
      </c>
      <c r="S125" s="91">
        <v>26081367.640000001</v>
      </c>
      <c r="T125" s="91">
        <v>0</v>
      </c>
      <c r="U125" s="91">
        <v>270957.43</v>
      </c>
      <c r="V125" s="91">
        <v>26212.48</v>
      </c>
      <c r="W125" s="91">
        <v>27120865.870000001</v>
      </c>
      <c r="X125" s="91">
        <v>52579202.689999998</v>
      </c>
      <c r="Y125" s="91">
        <v>1136202.31</v>
      </c>
      <c r="Z125" s="91">
        <v>39569271.590000004</v>
      </c>
      <c r="AA125" s="91">
        <v>201085353</v>
      </c>
      <c r="AB125" s="91">
        <v>27656939.84</v>
      </c>
      <c r="AC125" s="91">
        <v>0</v>
      </c>
      <c r="AD125" s="91">
        <v>362528690.69999999</v>
      </c>
      <c r="AE125" s="91">
        <v>25262398281.959999</v>
      </c>
      <c r="AF125" s="91">
        <v>0</v>
      </c>
      <c r="AG125" s="91">
        <v>91564786.140000001</v>
      </c>
      <c r="AH125" s="91">
        <v>10726565.310000001</v>
      </c>
      <c r="AI125" s="91">
        <v>2506091.91</v>
      </c>
      <c r="AJ125" s="91">
        <v>9335290.5399999991</v>
      </c>
      <c r="AK125" s="91">
        <v>15935372.07</v>
      </c>
      <c r="AL125" s="91">
        <v>17576141.890000001</v>
      </c>
      <c r="AM125" s="91">
        <v>502118956.56999999</v>
      </c>
      <c r="AN125" s="91">
        <v>6617027.1600000001</v>
      </c>
      <c r="AO125" s="91">
        <v>18818.86</v>
      </c>
      <c r="AP125" s="91">
        <v>17467827.379999999</v>
      </c>
      <c r="AQ125" s="91">
        <v>77964831.870000005</v>
      </c>
      <c r="AR125" s="91">
        <v>9177415.0600000005</v>
      </c>
      <c r="AS125" s="91">
        <v>5120056.8</v>
      </c>
      <c r="AT125" s="91">
        <v>27475079414.75</v>
      </c>
      <c r="AU125" s="90" t="s">
        <v>344</v>
      </c>
      <c r="AV125" s="253"/>
      <c r="AW125" s="263"/>
    </row>
    <row r="126" spans="2:49" x14ac:dyDescent="0.35">
      <c r="B126" s="234"/>
      <c r="C126" s="250" t="s">
        <v>76</v>
      </c>
      <c r="D126" s="88" t="s">
        <v>313</v>
      </c>
      <c r="E126" s="89">
        <v>12</v>
      </c>
      <c r="F126" s="89">
        <v>0</v>
      </c>
      <c r="G126" s="89">
        <v>0</v>
      </c>
      <c r="H126" s="89">
        <v>13956</v>
      </c>
      <c r="I126" s="89">
        <v>955</v>
      </c>
      <c r="J126" s="89">
        <v>599</v>
      </c>
      <c r="K126" s="89">
        <v>0</v>
      </c>
      <c r="L126" s="89">
        <v>6723</v>
      </c>
      <c r="M126" s="89">
        <v>2725</v>
      </c>
      <c r="N126" s="89">
        <v>3324</v>
      </c>
      <c r="O126" s="89">
        <v>46503</v>
      </c>
      <c r="P126" s="89">
        <v>34410</v>
      </c>
      <c r="Q126" s="89">
        <v>58124</v>
      </c>
      <c r="R126" s="89">
        <v>174113</v>
      </c>
      <c r="S126" s="89">
        <v>31163</v>
      </c>
      <c r="T126" s="89">
        <v>0</v>
      </c>
      <c r="U126" s="89">
        <v>2063</v>
      </c>
      <c r="V126" s="89">
        <v>942</v>
      </c>
      <c r="W126" s="89">
        <v>15350</v>
      </c>
      <c r="X126" s="89">
        <v>2292</v>
      </c>
      <c r="Y126" s="89">
        <v>517</v>
      </c>
      <c r="Z126" s="89">
        <v>39548</v>
      </c>
      <c r="AA126" s="89">
        <v>23711</v>
      </c>
      <c r="AB126" s="89">
        <v>2847</v>
      </c>
      <c r="AC126" s="89">
        <v>0</v>
      </c>
      <c r="AD126" s="89">
        <v>165886</v>
      </c>
      <c r="AE126" s="89">
        <v>1282329</v>
      </c>
      <c r="AF126" s="89">
        <v>0</v>
      </c>
      <c r="AG126" s="89">
        <v>13190</v>
      </c>
      <c r="AH126" s="89">
        <v>0</v>
      </c>
      <c r="AI126" s="89">
        <v>508</v>
      </c>
      <c r="AJ126" s="89">
        <v>7640</v>
      </c>
      <c r="AK126" s="89">
        <v>38934</v>
      </c>
      <c r="AL126" s="89">
        <v>15357</v>
      </c>
      <c r="AM126" s="89">
        <v>154810</v>
      </c>
      <c r="AN126" s="89">
        <v>12105</v>
      </c>
      <c r="AO126" s="89">
        <v>1581</v>
      </c>
      <c r="AP126" s="89">
        <v>11347</v>
      </c>
      <c r="AQ126" s="89">
        <v>13694</v>
      </c>
      <c r="AR126" s="89">
        <v>264</v>
      </c>
      <c r="AS126" s="89">
        <v>517</v>
      </c>
      <c r="AT126" s="89">
        <v>2178039</v>
      </c>
      <c r="AU126" s="88" t="s">
        <v>312</v>
      </c>
      <c r="AV126" s="252" t="s">
        <v>92</v>
      </c>
      <c r="AW126" s="263"/>
    </row>
    <row r="127" spans="2:49" x14ac:dyDescent="0.35">
      <c r="B127" s="234"/>
      <c r="C127" s="251"/>
      <c r="D127" s="90" t="s">
        <v>345</v>
      </c>
      <c r="E127" s="91">
        <v>10025.24</v>
      </c>
      <c r="F127" s="91">
        <v>0</v>
      </c>
      <c r="G127" s="91">
        <v>0</v>
      </c>
      <c r="H127" s="91">
        <v>78364052.260000005</v>
      </c>
      <c r="I127" s="91">
        <v>4519261.8499999996</v>
      </c>
      <c r="J127" s="91">
        <v>7511777.1299999999</v>
      </c>
      <c r="K127" s="91">
        <v>0</v>
      </c>
      <c r="L127" s="91">
        <v>23997768.050000001</v>
      </c>
      <c r="M127" s="91">
        <v>12352384.789999999</v>
      </c>
      <c r="N127" s="91">
        <v>8635922.8900000006</v>
      </c>
      <c r="O127" s="91">
        <v>116321513.15000001</v>
      </c>
      <c r="P127" s="91">
        <v>221377066.34</v>
      </c>
      <c r="Q127" s="91">
        <v>114523835.79000001</v>
      </c>
      <c r="R127" s="91">
        <v>105187415.11</v>
      </c>
      <c r="S127" s="91">
        <v>164151345.16</v>
      </c>
      <c r="T127" s="91">
        <v>0</v>
      </c>
      <c r="U127" s="91">
        <v>6958339.7199999997</v>
      </c>
      <c r="V127" s="91">
        <v>2662585.17</v>
      </c>
      <c r="W127" s="91">
        <v>19089473.68</v>
      </c>
      <c r="X127" s="91">
        <v>3073487.65</v>
      </c>
      <c r="Y127" s="91">
        <v>895898.42</v>
      </c>
      <c r="Z127" s="91">
        <v>125557352.84</v>
      </c>
      <c r="AA127" s="91">
        <v>126625985</v>
      </c>
      <c r="AB127" s="91">
        <v>11069270.970000001</v>
      </c>
      <c r="AC127" s="91">
        <v>0</v>
      </c>
      <c r="AD127" s="91">
        <v>1009293506.62</v>
      </c>
      <c r="AE127" s="91">
        <v>9646974092.6399994</v>
      </c>
      <c r="AF127" s="91">
        <v>0</v>
      </c>
      <c r="AG127" s="91">
        <v>31289382.579999998</v>
      </c>
      <c r="AH127" s="91">
        <v>0</v>
      </c>
      <c r="AI127" s="91">
        <v>810349.96</v>
      </c>
      <c r="AJ127" s="91">
        <v>5410842.6100000003</v>
      </c>
      <c r="AK127" s="91">
        <v>39518826.579999998</v>
      </c>
      <c r="AL127" s="91">
        <v>30625000.210000001</v>
      </c>
      <c r="AM127" s="91">
        <v>368119185.24000001</v>
      </c>
      <c r="AN127" s="91">
        <v>23530217.370000001</v>
      </c>
      <c r="AO127" s="91">
        <v>5256351.21</v>
      </c>
      <c r="AP127" s="91">
        <v>44561946.829999998</v>
      </c>
      <c r="AQ127" s="91">
        <v>66228760.719999999</v>
      </c>
      <c r="AR127" s="91">
        <v>3091609.47</v>
      </c>
      <c r="AS127" s="91">
        <v>790065.54</v>
      </c>
      <c r="AT127" s="91">
        <v>12428384898.790001</v>
      </c>
      <c r="AU127" s="90" t="s">
        <v>344</v>
      </c>
      <c r="AV127" s="253"/>
      <c r="AW127" s="263"/>
    </row>
    <row r="128" spans="2:49" x14ac:dyDescent="0.35">
      <c r="B128" s="234"/>
      <c r="C128" s="250" t="s">
        <v>77</v>
      </c>
      <c r="D128" s="88" t="s">
        <v>313</v>
      </c>
      <c r="E128" s="89">
        <v>3834</v>
      </c>
      <c r="F128" s="89">
        <v>0</v>
      </c>
      <c r="G128" s="89">
        <v>0</v>
      </c>
      <c r="H128" s="89">
        <v>19303</v>
      </c>
      <c r="I128" s="89">
        <v>2573</v>
      </c>
      <c r="J128" s="89">
        <v>3709</v>
      </c>
      <c r="K128" s="89">
        <v>3708</v>
      </c>
      <c r="L128" s="89">
        <v>46335</v>
      </c>
      <c r="M128" s="89">
        <v>6986</v>
      </c>
      <c r="N128" s="89">
        <v>2881</v>
      </c>
      <c r="O128" s="89">
        <v>63045</v>
      </c>
      <c r="P128" s="89">
        <v>61628</v>
      </c>
      <c r="Q128" s="89">
        <v>79843</v>
      </c>
      <c r="R128" s="89">
        <v>118346</v>
      </c>
      <c r="S128" s="89">
        <v>25486</v>
      </c>
      <c r="T128" s="89">
        <v>0</v>
      </c>
      <c r="U128" s="89">
        <v>911</v>
      </c>
      <c r="V128" s="89">
        <v>0</v>
      </c>
      <c r="W128" s="89">
        <v>25706</v>
      </c>
      <c r="X128" s="89">
        <v>17967</v>
      </c>
      <c r="Y128" s="89">
        <v>2418</v>
      </c>
      <c r="Z128" s="89">
        <v>23441</v>
      </c>
      <c r="AA128" s="89">
        <v>30849</v>
      </c>
      <c r="AB128" s="89">
        <v>23717</v>
      </c>
      <c r="AC128" s="89">
        <v>0</v>
      </c>
      <c r="AD128" s="89">
        <v>49319</v>
      </c>
      <c r="AE128" s="89">
        <v>1389241</v>
      </c>
      <c r="AF128" s="89">
        <v>0</v>
      </c>
      <c r="AG128" s="89">
        <v>10931</v>
      </c>
      <c r="AH128" s="89">
        <v>1761</v>
      </c>
      <c r="AI128" s="89">
        <v>0</v>
      </c>
      <c r="AJ128" s="89">
        <v>3339</v>
      </c>
      <c r="AK128" s="89">
        <v>36597</v>
      </c>
      <c r="AL128" s="89">
        <v>20816</v>
      </c>
      <c r="AM128" s="89">
        <v>178886</v>
      </c>
      <c r="AN128" s="89">
        <v>1480</v>
      </c>
      <c r="AO128" s="89">
        <v>48</v>
      </c>
      <c r="AP128" s="89">
        <v>4592</v>
      </c>
      <c r="AQ128" s="89">
        <v>15408</v>
      </c>
      <c r="AR128" s="89">
        <v>1487</v>
      </c>
      <c r="AS128" s="89">
        <v>564</v>
      </c>
      <c r="AT128" s="89">
        <v>2277155</v>
      </c>
      <c r="AU128" s="88" t="s">
        <v>312</v>
      </c>
      <c r="AV128" s="252" t="s">
        <v>93</v>
      </c>
      <c r="AW128" s="263"/>
    </row>
    <row r="129" spans="2:49" x14ac:dyDescent="0.35">
      <c r="B129" s="234"/>
      <c r="C129" s="251"/>
      <c r="D129" s="90" t="s">
        <v>345</v>
      </c>
      <c r="E129" s="91">
        <v>24794939.23</v>
      </c>
      <c r="F129" s="91">
        <v>0</v>
      </c>
      <c r="G129" s="91">
        <v>0</v>
      </c>
      <c r="H129" s="91">
        <v>104733906.44</v>
      </c>
      <c r="I129" s="91">
        <v>13670206.060000001</v>
      </c>
      <c r="J129" s="91">
        <v>11797138.960000001</v>
      </c>
      <c r="K129" s="91">
        <v>14756205.970000001</v>
      </c>
      <c r="L129" s="91">
        <v>129880658.40000001</v>
      </c>
      <c r="M129" s="91">
        <v>33127302.59</v>
      </c>
      <c r="N129" s="91">
        <v>10824052.130000001</v>
      </c>
      <c r="O129" s="91">
        <v>104906627.73999999</v>
      </c>
      <c r="P129" s="91">
        <v>138426847.81</v>
      </c>
      <c r="Q129" s="91">
        <v>152531794.52000001</v>
      </c>
      <c r="R129" s="91">
        <v>143956465.31</v>
      </c>
      <c r="S129" s="91">
        <v>47583137.289999999</v>
      </c>
      <c r="T129" s="91">
        <v>0</v>
      </c>
      <c r="U129" s="91">
        <v>773958.73</v>
      </c>
      <c r="V129" s="91">
        <v>0</v>
      </c>
      <c r="W129" s="91">
        <v>45169878.649999999</v>
      </c>
      <c r="X129" s="91">
        <v>81647654.819999993</v>
      </c>
      <c r="Y129" s="91">
        <v>10011417.5</v>
      </c>
      <c r="Z129" s="91">
        <v>77562662.810000002</v>
      </c>
      <c r="AA129" s="91">
        <v>109557930.5</v>
      </c>
      <c r="AB129" s="91">
        <v>92615972.989999995</v>
      </c>
      <c r="AC129" s="91">
        <v>0</v>
      </c>
      <c r="AD129" s="91">
        <v>381791636.55000001</v>
      </c>
      <c r="AE129" s="91">
        <v>9495581656.8799992</v>
      </c>
      <c r="AF129" s="91">
        <v>0</v>
      </c>
      <c r="AG129" s="91">
        <v>42199567.450000003</v>
      </c>
      <c r="AH129" s="91">
        <v>11200672.539999999</v>
      </c>
      <c r="AI129" s="91">
        <v>0</v>
      </c>
      <c r="AJ129" s="91">
        <v>8717867.4100000001</v>
      </c>
      <c r="AK129" s="91">
        <v>27057451.030000001</v>
      </c>
      <c r="AL129" s="91">
        <v>38381819.780000001</v>
      </c>
      <c r="AM129" s="91">
        <v>741321294.89999998</v>
      </c>
      <c r="AN129" s="91">
        <v>1593091.86</v>
      </c>
      <c r="AO129" s="91">
        <v>235044.62</v>
      </c>
      <c r="AP129" s="91">
        <v>16758236.289999999</v>
      </c>
      <c r="AQ129" s="91">
        <v>147301252.75</v>
      </c>
      <c r="AR129" s="91">
        <v>9741240.5099999998</v>
      </c>
      <c r="AS129" s="91">
        <v>9272477.5800000001</v>
      </c>
      <c r="AT129" s="91">
        <v>12279482068.6</v>
      </c>
      <c r="AU129" s="90" t="s">
        <v>344</v>
      </c>
      <c r="AV129" s="253"/>
      <c r="AW129" s="263"/>
    </row>
    <row r="130" spans="2:49" x14ac:dyDescent="0.35">
      <c r="B130" s="234"/>
      <c r="C130" s="250" t="s">
        <v>78</v>
      </c>
      <c r="D130" s="88" t="s">
        <v>313</v>
      </c>
      <c r="E130" s="89">
        <v>0</v>
      </c>
      <c r="F130" s="89">
        <v>0</v>
      </c>
      <c r="G130" s="89">
        <v>0</v>
      </c>
      <c r="H130" s="89">
        <v>23541</v>
      </c>
      <c r="I130" s="89">
        <v>4662</v>
      </c>
      <c r="J130" s="89">
        <v>5078</v>
      </c>
      <c r="K130" s="89">
        <v>4626</v>
      </c>
      <c r="L130" s="89">
        <v>9049</v>
      </c>
      <c r="M130" s="89">
        <v>7621</v>
      </c>
      <c r="N130" s="89">
        <v>2053</v>
      </c>
      <c r="O130" s="89">
        <v>40921</v>
      </c>
      <c r="P130" s="89">
        <v>48598</v>
      </c>
      <c r="Q130" s="89">
        <v>54690</v>
      </c>
      <c r="R130" s="89">
        <v>77428</v>
      </c>
      <c r="S130" s="89">
        <v>31099</v>
      </c>
      <c r="T130" s="89">
        <v>0</v>
      </c>
      <c r="U130" s="89">
        <v>1181</v>
      </c>
      <c r="V130" s="89">
        <v>938</v>
      </c>
      <c r="W130" s="89">
        <v>15082</v>
      </c>
      <c r="X130" s="89">
        <v>26021</v>
      </c>
      <c r="Y130" s="89">
        <v>1073</v>
      </c>
      <c r="Z130" s="89">
        <v>28450</v>
      </c>
      <c r="AA130" s="89">
        <v>17167</v>
      </c>
      <c r="AB130" s="89">
        <v>16868</v>
      </c>
      <c r="AC130" s="89">
        <v>0</v>
      </c>
      <c r="AD130" s="89">
        <v>96800</v>
      </c>
      <c r="AE130" s="89">
        <v>1431057</v>
      </c>
      <c r="AF130" s="89">
        <v>128</v>
      </c>
      <c r="AG130" s="89">
        <v>2120</v>
      </c>
      <c r="AH130" s="89">
        <v>1799</v>
      </c>
      <c r="AI130" s="89">
        <v>938</v>
      </c>
      <c r="AJ130" s="89">
        <v>1876</v>
      </c>
      <c r="AK130" s="89">
        <v>14797</v>
      </c>
      <c r="AL130" s="89">
        <v>14850</v>
      </c>
      <c r="AM130" s="89">
        <v>143264</v>
      </c>
      <c r="AN130" s="89">
        <v>1139</v>
      </c>
      <c r="AO130" s="89">
        <v>38</v>
      </c>
      <c r="AP130" s="89">
        <v>2215</v>
      </c>
      <c r="AQ130" s="89">
        <v>31629</v>
      </c>
      <c r="AR130" s="89">
        <v>1124</v>
      </c>
      <c r="AS130" s="89">
        <v>0</v>
      </c>
      <c r="AT130" s="89">
        <v>2159920</v>
      </c>
      <c r="AU130" s="88" t="s">
        <v>312</v>
      </c>
      <c r="AV130" s="252" t="s">
        <v>94</v>
      </c>
      <c r="AW130" s="263"/>
    </row>
    <row r="131" spans="2:49" x14ac:dyDescent="0.35">
      <c r="B131" s="234"/>
      <c r="C131" s="251"/>
      <c r="D131" s="90" t="s">
        <v>345</v>
      </c>
      <c r="E131" s="91">
        <v>0</v>
      </c>
      <c r="F131" s="91">
        <v>0</v>
      </c>
      <c r="G131" s="91">
        <v>0</v>
      </c>
      <c r="H131" s="91">
        <v>165426140.53999999</v>
      </c>
      <c r="I131" s="91">
        <v>21489884.559999999</v>
      </c>
      <c r="J131" s="91">
        <v>20439144.100000001</v>
      </c>
      <c r="K131" s="91">
        <v>34555676.82</v>
      </c>
      <c r="L131" s="91">
        <v>18461843.559999999</v>
      </c>
      <c r="M131" s="91">
        <v>30752723.699999999</v>
      </c>
      <c r="N131" s="91">
        <v>9899181.8499999996</v>
      </c>
      <c r="O131" s="91">
        <v>47774335.060000002</v>
      </c>
      <c r="P131" s="91">
        <v>170757211.66999999</v>
      </c>
      <c r="Q131" s="91">
        <v>117004692.37</v>
      </c>
      <c r="R131" s="91">
        <v>83729773.709999993</v>
      </c>
      <c r="S131" s="91">
        <v>114752497.56</v>
      </c>
      <c r="T131" s="91">
        <v>0</v>
      </c>
      <c r="U131" s="91">
        <v>6315176.7199999997</v>
      </c>
      <c r="V131" s="91">
        <v>4374217.63</v>
      </c>
      <c r="W131" s="91">
        <v>27397333.52</v>
      </c>
      <c r="X131" s="91">
        <v>101214146.31</v>
      </c>
      <c r="Y131" s="91">
        <v>3923998.66</v>
      </c>
      <c r="Z131" s="91">
        <v>77469618.519999996</v>
      </c>
      <c r="AA131" s="91">
        <v>63313682.009999998</v>
      </c>
      <c r="AB131" s="91">
        <v>65767601.829999998</v>
      </c>
      <c r="AC131" s="91">
        <v>0</v>
      </c>
      <c r="AD131" s="91">
        <v>533739830.44</v>
      </c>
      <c r="AE131" s="91">
        <v>8444387062.6700001</v>
      </c>
      <c r="AF131" s="91">
        <v>438974.23</v>
      </c>
      <c r="AG131" s="91">
        <v>12505347.25</v>
      </c>
      <c r="AH131" s="91">
        <v>19244627.98</v>
      </c>
      <c r="AI131" s="91">
        <v>5119953.6900000004</v>
      </c>
      <c r="AJ131" s="91">
        <v>3942580.71</v>
      </c>
      <c r="AK131" s="91">
        <v>23422658.600000001</v>
      </c>
      <c r="AL131" s="91">
        <v>25917930.960000001</v>
      </c>
      <c r="AM131" s="91">
        <v>477839675.16000003</v>
      </c>
      <c r="AN131" s="91">
        <v>2172415.02</v>
      </c>
      <c r="AO131" s="91">
        <v>383461.4</v>
      </c>
      <c r="AP131" s="91">
        <v>11672176.939999999</v>
      </c>
      <c r="AQ131" s="91">
        <v>180085025.28999999</v>
      </c>
      <c r="AR131" s="91">
        <v>7887047.7199999997</v>
      </c>
      <c r="AS131" s="91">
        <v>0</v>
      </c>
      <c r="AT131" s="91">
        <v>10933577648.76</v>
      </c>
      <c r="AU131" s="90" t="s">
        <v>344</v>
      </c>
      <c r="AV131" s="253"/>
      <c r="AW131" s="263"/>
    </row>
    <row r="132" spans="2:49" x14ac:dyDescent="0.35">
      <c r="B132" s="234"/>
      <c r="C132" s="250" t="s">
        <v>79</v>
      </c>
      <c r="D132" s="88" t="s">
        <v>313</v>
      </c>
      <c r="E132" s="89">
        <v>0</v>
      </c>
      <c r="F132" s="89">
        <v>0</v>
      </c>
      <c r="G132" s="89">
        <v>0</v>
      </c>
      <c r="H132" s="89">
        <v>10393</v>
      </c>
      <c r="I132" s="89">
        <v>4419</v>
      </c>
      <c r="J132" s="89">
        <v>5228</v>
      </c>
      <c r="K132" s="89">
        <v>2922</v>
      </c>
      <c r="L132" s="89">
        <v>13335</v>
      </c>
      <c r="M132" s="89">
        <v>10966</v>
      </c>
      <c r="N132" s="89">
        <v>9503</v>
      </c>
      <c r="O132" s="89">
        <v>47993</v>
      </c>
      <c r="P132" s="89">
        <v>49784</v>
      </c>
      <c r="Q132" s="89">
        <v>54239</v>
      </c>
      <c r="R132" s="89">
        <v>62638</v>
      </c>
      <c r="S132" s="89">
        <v>20429</v>
      </c>
      <c r="T132" s="89">
        <v>0</v>
      </c>
      <c r="U132" s="89">
        <v>1616</v>
      </c>
      <c r="V132" s="89">
        <v>0</v>
      </c>
      <c r="W132" s="89">
        <v>14427</v>
      </c>
      <c r="X132" s="89">
        <v>19357</v>
      </c>
      <c r="Y132" s="89">
        <v>1348</v>
      </c>
      <c r="Z132" s="89">
        <v>45609</v>
      </c>
      <c r="AA132" s="89">
        <v>20551</v>
      </c>
      <c r="AB132" s="89">
        <v>10424</v>
      </c>
      <c r="AC132" s="89">
        <v>0</v>
      </c>
      <c r="AD132" s="89">
        <v>104755</v>
      </c>
      <c r="AE132" s="89">
        <v>1612539</v>
      </c>
      <c r="AF132" s="89">
        <v>1</v>
      </c>
      <c r="AG132" s="89">
        <v>4778</v>
      </c>
      <c r="AH132" s="89">
        <v>824</v>
      </c>
      <c r="AI132" s="89">
        <v>2392</v>
      </c>
      <c r="AJ132" s="89">
        <v>8374</v>
      </c>
      <c r="AK132" s="89">
        <v>40164</v>
      </c>
      <c r="AL132" s="89">
        <v>15199</v>
      </c>
      <c r="AM132" s="89">
        <v>239776</v>
      </c>
      <c r="AN132" s="89">
        <v>4014</v>
      </c>
      <c r="AO132" s="89">
        <v>5</v>
      </c>
      <c r="AP132" s="89">
        <v>269</v>
      </c>
      <c r="AQ132" s="89">
        <v>50091</v>
      </c>
      <c r="AR132" s="89">
        <v>1690</v>
      </c>
      <c r="AS132" s="89">
        <v>205</v>
      </c>
      <c r="AT132" s="89">
        <v>2490257</v>
      </c>
      <c r="AU132" s="88" t="s">
        <v>312</v>
      </c>
      <c r="AV132" s="252" t="s">
        <v>95</v>
      </c>
      <c r="AW132" s="263"/>
    </row>
    <row r="133" spans="2:49" x14ac:dyDescent="0.35">
      <c r="B133" s="234"/>
      <c r="C133" s="251"/>
      <c r="D133" s="90" t="s">
        <v>345</v>
      </c>
      <c r="E133" s="91">
        <v>0</v>
      </c>
      <c r="F133" s="91">
        <v>0</v>
      </c>
      <c r="G133" s="91">
        <v>0</v>
      </c>
      <c r="H133" s="91">
        <v>65261300.030000001</v>
      </c>
      <c r="I133" s="91">
        <v>27587853.039999999</v>
      </c>
      <c r="J133" s="91">
        <v>31655712.829999998</v>
      </c>
      <c r="K133" s="91">
        <v>18698531.469999999</v>
      </c>
      <c r="L133" s="91">
        <v>52231099.340000004</v>
      </c>
      <c r="M133" s="91">
        <v>56467828.090000004</v>
      </c>
      <c r="N133" s="91">
        <v>37993040.810000002</v>
      </c>
      <c r="O133" s="91">
        <v>111000307.65000001</v>
      </c>
      <c r="P133" s="91">
        <v>191298904.19999999</v>
      </c>
      <c r="Q133" s="91">
        <v>150064632.31999999</v>
      </c>
      <c r="R133" s="91">
        <v>95447170.099999994</v>
      </c>
      <c r="S133" s="91">
        <v>68736373.590000004</v>
      </c>
      <c r="T133" s="91">
        <v>0</v>
      </c>
      <c r="U133" s="91">
        <v>12682462.57</v>
      </c>
      <c r="V133" s="91">
        <v>0</v>
      </c>
      <c r="W133" s="91">
        <v>55870223.259999998</v>
      </c>
      <c r="X133" s="91">
        <v>66314731.420000002</v>
      </c>
      <c r="Y133" s="91">
        <v>3395810.45</v>
      </c>
      <c r="Z133" s="91">
        <v>160703112.80000001</v>
      </c>
      <c r="AA133" s="91">
        <v>83841644.659999996</v>
      </c>
      <c r="AB133" s="91">
        <v>39660394.869999997</v>
      </c>
      <c r="AC133" s="91">
        <v>0</v>
      </c>
      <c r="AD133" s="91">
        <v>852121738.34000003</v>
      </c>
      <c r="AE133" s="91">
        <v>10637792227.65</v>
      </c>
      <c r="AF133" s="91">
        <v>11750.84</v>
      </c>
      <c r="AG133" s="91">
        <v>26464741.510000002</v>
      </c>
      <c r="AH133" s="91">
        <v>7001253.5599999996</v>
      </c>
      <c r="AI133" s="91">
        <v>7402778.3399999999</v>
      </c>
      <c r="AJ133" s="91">
        <v>19851575.25</v>
      </c>
      <c r="AK133" s="91">
        <v>69122212.430000007</v>
      </c>
      <c r="AL133" s="91">
        <v>56996283.130000003</v>
      </c>
      <c r="AM133" s="91">
        <v>1104057992.4400001</v>
      </c>
      <c r="AN133" s="91">
        <v>12650817.52</v>
      </c>
      <c r="AO133" s="91">
        <v>39451.800000000003</v>
      </c>
      <c r="AP133" s="91">
        <v>5374676.6299999999</v>
      </c>
      <c r="AQ133" s="91">
        <v>284999628.60000002</v>
      </c>
      <c r="AR133" s="91">
        <v>7373605.9100000001</v>
      </c>
      <c r="AS133" s="91">
        <v>3101712.86</v>
      </c>
      <c r="AT133" s="91">
        <v>14423273580.309999</v>
      </c>
      <c r="AU133" s="90" t="s">
        <v>344</v>
      </c>
      <c r="AV133" s="253"/>
      <c r="AW133" s="263"/>
    </row>
    <row r="134" spans="2:49" x14ac:dyDescent="0.35">
      <c r="B134" s="234"/>
      <c r="C134" s="250" t="s">
        <v>80</v>
      </c>
      <c r="D134" s="88" t="s">
        <v>313</v>
      </c>
      <c r="E134" s="89">
        <v>0</v>
      </c>
      <c r="F134" s="89">
        <v>0</v>
      </c>
      <c r="G134" s="89">
        <v>0</v>
      </c>
      <c r="H134" s="89">
        <v>10427</v>
      </c>
      <c r="I134" s="89">
        <v>1238</v>
      </c>
      <c r="J134" s="89">
        <v>2668</v>
      </c>
      <c r="K134" s="89">
        <v>2130</v>
      </c>
      <c r="L134" s="89">
        <v>11584</v>
      </c>
      <c r="M134" s="89">
        <v>5905</v>
      </c>
      <c r="N134" s="89">
        <v>4672</v>
      </c>
      <c r="O134" s="89">
        <v>28335</v>
      </c>
      <c r="P134" s="89">
        <v>37507</v>
      </c>
      <c r="Q134" s="89">
        <v>46888</v>
      </c>
      <c r="R134" s="89">
        <v>85423</v>
      </c>
      <c r="S134" s="89">
        <v>20298</v>
      </c>
      <c r="T134" s="89">
        <v>0</v>
      </c>
      <c r="U134" s="89">
        <v>0</v>
      </c>
      <c r="V134" s="89">
        <v>1338</v>
      </c>
      <c r="W134" s="89">
        <v>9428</v>
      </c>
      <c r="X134" s="89">
        <v>21893</v>
      </c>
      <c r="Y134" s="89">
        <v>3058</v>
      </c>
      <c r="Z134" s="89">
        <v>38378</v>
      </c>
      <c r="AA134" s="89">
        <v>24744</v>
      </c>
      <c r="AB134" s="89">
        <v>5863</v>
      </c>
      <c r="AC134" s="89">
        <v>0</v>
      </c>
      <c r="AD134" s="89">
        <v>90607</v>
      </c>
      <c r="AE134" s="89">
        <v>1822573</v>
      </c>
      <c r="AF134" s="89">
        <v>1</v>
      </c>
      <c r="AG134" s="89">
        <v>2307</v>
      </c>
      <c r="AH134" s="89">
        <v>1154</v>
      </c>
      <c r="AI134" s="89">
        <v>2704</v>
      </c>
      <c r="AJ134" s="89">
        <v>9585</v>
      </c>
      <c r="AK134" s="89">
        <v>12144</v>
      </c>
      <c r="AL134" s="89">
        <v>14636</v>
      </c>
      <c r="AM134" s="89">
        <v>251522</v>
      </c>
      <c r="AN134" s="89">
        <v>2137</v>
      </c>
      <c r="AO134" s="89">
        <v>37</v>
      </c>
      <c r="AP134" s="89">
        <v>6</v>
      </c>
      <c r="AQ134" s="89">
        <v>47713</v>
      </c>
      <c r="AR134" s="89">
        <v>3007</v>
      </c>
      <c r="AS134" s="89">
        <v>157</v>
      </c>
      <c r="AT134" s="89">
        <v>2622067</v>
      </c>
      <c r="AU134" s="88" t="s">
        <v>312</v>
      </c>
      <c r="AV134" s="252" t="s">
        <v>96</v>
      </c>
      <c r="AW134" s="263"/>
    </row>
    <row r="135" spans="2:49" x14ac:dyDescent="0.35">
      <c r="B135" s="234"/>
      <c r="C135" s="251"/>
      <c r="D135" s="90" t="s">
        <v>345</v>
      </c>
      <c r="E135" s="91">
        <v>0</v>
      </c>
      <c r="F135" s="91">
        <v>0</v>
      </c>
      <c r="G135" s="91">
        <v>0</v>
      </c>
      <c r="H135" s="91">
        <v>59846007.100000001</v>
      </c>
      <c r="I135" s="91">
        <v>3106351.45</v>
      </c>
      <c r="J135" s="91">
        <v>9813902.8800000008</v>
      </c>
      <c r="K135" s="91">
        <v>8914514.0199999996</v>
      </c>
      <c r="L135" s="91">
        <v>75816048.689999998</v>
      </c>
      <c r="M135" s="91">
        <v>26116164.18</v>
      </c>
      <c r="N135" s="91">
        <v>23981929.870000001</v>
      </c>
      <c r="O135" s="91">
        <v>70748949.569999993</v>
      </c>
      <c r="P135" s="91">
        <v>116540811.98</v>
      </c>
      <c r="Q135" s="91">
        <v>100897297.59</v>
      </c>
      <c r="R135" s="91">
        <v>118992359.67</v>
      </c>
      <c r="S135" s="91">
        <v>102011985.45999999</v>
      </c>
      <c r="T135" s="91">
        <v>0</v>
      </c>
      <c r="U135" s="91">
        <v>0</v>
      </c>
      <c r="V135" s="91">
        <v>13936055.76</v>
      </c>
      <c r="W135" s="91">
        <v>27727794.969999999</v>
      </c>
      <c r="X135" s="91">
        <v>68936061.950000003</v>
      </c>
      <c r="Y135" s="91">
        <v>6135457.3499999996</v>
      </c>
      <c r="Z135" s="91">
        <v>258552133.41</v>
      </c>
      <c r="AA135" s="91">
        <v>123384677.23</v>
      </c>
      <c r="AB135" s="91">
        <v>22876491.670000002</v>
      </c>
      <c r="AC135" s="91">
        <v>0</v>
      </c>
      <c r="AD135" s="91">
        <v>604595476.73000002</v>
      </c>
      <c r="AE135" s="91">
        <v>13036871637.74</v>
      </c>
      <c r="AF135" s="91">
        <v>5546.47</v>
      </c>
      <c r="AG135" s="91">
        <v>12948496.66</v>
      </c>
      <c r="AH135" s="91">
        <v>9976988.1799999997</v>
      </c>
      <c r="AI135" s="91">
        <v>9518024.8800000008</v>
      </c>
      <c r="AJ135" s="91">
        <v>12943431.949999999</v>
      </c>
      <c r="AK135" s="91">
        <v>32390036.84</v>
      </c>
      <c r="AL135" s="91">
        <v>37396773.210000001</v>
      </c>
      <c r="AM135" s="91">
        <v>1385541211.5599999</v>
      </c>
      <c r="AN135" s="91">
        <v>14577959.16</v>
      </c>
      <c r="AO135" s="91">
        <v>680013.89</v>
      </c>
      <c r="AP135" s="91">
        <v>36661.410000000003</v>
      </c>
      <c r="AQ135" s="91">
        <v>314257530.35000002</v>
      </c>
      <c r="AR135" s="91">
        <v>35531739.310000002</v>
      </c>
      <c r="AS135" s="91">
        <v>3526519.07</v>
      </c>
      <c r="AT135" s="91">
        <v>16749133042.209999</v>
      </c>
      <c r="AU135" s="90" t="s">
        <v>344</v>
      </c>
      <c r="AV135" s="253"/>
      <c r="AW135" s="263"/>
    </row>
    <row r="136" spans="2:49" x14ac:dyDescent="0.35">
      <c r="B136" s="234"/>
      <c r="C136" s="250" t="s">
        <v>81</v>
      </c>
      <c r="D136" s="88" t="s">
        <v>313</v>
      </c>
      <c r="E136" s="89">
        <v>0</v>
      </c>
      <c r="F136" s="89">
        <v>0</v>
      </c>
      <c r="G136" s="89">
        <v>0</v>
      </c>
      <c r="H136" s="89">
        <v>11527</v>
      </c>
      <c r="I136" s="89">
        <v>944</v>
      </c>
      <c r="J136" s="89">
        <v>2598</v>
      </c>
      <c r="K136" s="89">
        <v>3932</v>
      </c>
      <c r="L136" s="89">
        <v>10266</v>
      </c>
      <c r="M136" s="89">
        <v>8030</v>
      </c>
      <c r="N136" s="89">
        <v>6932</v>
      </c>
      <c r="O136" s="89">
        <v>65465</v>
      </c>
      <c r="P136" s="89">
        <v>42514</v>
      </c>
      <c r="Q136" s="89">
        <v>83650</v>
      </c>
      <c r="R136" s="89">
        <v>116923</v>
      </c>
      <c r="S136" s="89">
        <v>23662</v>
      </c>
      <c r="T136" s="89">
        <v>0</v>
      </c>
      <c r="U136" s="89">
        <v>2842</v>
      </c>
      <c r="V136" s="89">
        <v>0</v>
      </c>
      <c r="W136" s="89">
        <v>7188</v>
      </c>
      <c r="X136" s="89">
        <v>16323</v>
      </c>
      <c r="Y136" s="89">
        <v>2645</v>
      </c>
      <c r="Z136" s="89">
        <v>40779</v>
      </c>
      <c r="AA136" s="89">
        <v>36254</v>
      </c>
      <c r="AB136" s="89">
        <v>4258</v>
      </c>
      <c r="AC136" s="89">
        <v>0</v>
      </c>
      <c r="AD136" s="89">
        <v>94260</v>
      </c>
      <c r="AE136" s="89">
        <v>2232380</v>
      </c>
      <c r="AF136" s="89">
        <v>336</v>
      </c>
      <c r="AG136" s="89">
        <v>763</v>
      </c>
      <c r="AH136" s="89">
        <v>0</v>
      </c>
      <c r="AI136" s="89">
        <v>6064</v>
      </c>
      <c r="AJ136" s="89">
        <v>5678</v>
      </c>
      <c r="AK136" s="89">
        <v>26206</v>
      </c>
      <c r="AL136" s="89">
        <v>12969</v>
      </c>
      <c r="AM136" s="89">
        <v>280411</v>
      </c>
      <c r="AN136" s="89">
        <v>11812</v>
      </c>
      <c r="AO136" s="89">
        <v>26</v>
      </c>
      <c r="AP136" s="89">
        <v>546</v>
      </c>
      <c r="AQ136" s="89">
        <v>47601</v>
      </c>
      <c r="AR136" s="89">
        <v>13639</v>
      </c>
      <c r="AS136" s="89">
        <v>26</v>
      </c>
      <c r="AT136" s="89">
        <v>3219449</v>
      </c>
      <c r="AU136" s="88" t="s">
        <v>312</v>
      </c>
      <c r="AV136" s="252" t="s">
        <v>97</v>
      </c>
      <c r="AW136" s="263"/>
    </row>
    <row r="137" spans="2:49" x14ac:dyDescent="0.35">
      <c r="B137" s="235"/>
      <c r="C137" s="251"/>
      <c r="D137" s="90" t="s">
        <v>345</v>
      </c>
      <c r="E137" s="91">
        <v>0</v>
      </c>
      <c r="F137" s="91">
        <v>0</v>
      </c>
      <c r="G137" s="91">
        <v>0</v>
      </c>
      <c r="H137" s="91">
        <v>50077022.130000003</v>
      </c>
      <c r="I137" s="91">
        <v>1972108.64</v>
      </c>
      <c r="J137" s="91">
        <v>8981102.3900000006</v>
      </c>
      <c r="K137" s="91">
        <v>22206677.960000001</v>
      </c>
      <c r="L137" s="91">
        <v>53767717.789999999</v>
      </c>
      <c r="M137" s="91">
        <v>42408904.329999998</v>
      </c>
      <c r="N137" s="91">
        <v>37298613.990000002</v>
      </c>
      <c r="O137" s="91">
        <v>153130721.91999999</v>
      </c>
      <c r="P137" s="91">
        <v>99356046.340000004</v>
      </c>
      <c r="Q137" s="91">
        <v>205250961.41999999</v>
      </c>
      <c r="R137" s="91">
        <v>146897322.99000001</v>
      </c>
      <c r="S137" s="91">
        <v>101126941.8</v>
      </c>
      <c r="T137" s="91">
        <v>0</v>
      </c>
      <c r="U137" s="91">
        <v>14416744.789999999</v>
      </c>
      <c r="V137" s="91">
        <v>0</v>
      </c>
      <c r="W137" s="91">
        <v>23112083.579999998</v>
      </c>
      <c r="X137" s="91">
        <v>52037389.43</v>
      </c>
      <c r="Y137" s="91">
        <v>12771226.140000001</v>
      </c>
      <c r="Z137" s="91">
        <v>333900996.19999999</v>
      </c>
      <c r="AA137" s="91">
        <v>182213903.24000001</v>
      </c>
      <c r="AB137" s="91">
        <v>16003316.01</v>
      </c>
      <c r="AC137" s="91">
        <v>0</v>
      </c>
      <c r="AD137" s="91">
        <v>560587388.88999999</v>
      </c>
      <c r="AE137" s="91">
        <v>15313582323.049999</v>
      </c>
      <c r="AF137" s="91">
        <v>6025142.9699999997</v>
      </c>
      <c r="AG137" s="91">
        <v>3362165.19</v>
      </c>
      <c r="AH137" s="91">
        <v>0</v>
      </c>
      <c r="AI137" s="91">
        <v>25568622.59</v>
      </c>
      <c r="AJ137" s="91">
        <v>9939231.2799999993</v>
      </c>
      <c r="AK137" s="91">
        <v>40873749.909999996</v>
      </c>
      <c r="AL137" s="91">
        <v>33314274.43</v>
      </c>
      <c r="AM137" s="91">
        <v>1426426268.73</v>
      </c>
      <c r="AN137" s="91">
        <v>33430699.960000001</v>
      </c>
      <c r="AO137" s="91">
        <v>846563.65</v>
      </c>
      <c r="AP137" s="91">
        <v>9743954.8599999994</v>
      </c>
      <c r="AQ137" s="91">
        <v>296671287.69</v>
      </c>
      <c r="AR137" s="91">
        <v>178014738.34999999</v>
      </c>
      <c r="AS137" s="91">
        <v>543795.5</v>
      </c>
      <c r="AT137" s="91">
        <v>19495860008.139999</v>
      </c>
      <c r="AU137" s="90" t="s">
        <v>344</v>
      </c>
      <c r="AV137" s="253"/>
      <c r="AW137" s="264"/>
    </row>
    <row r="138" spans="2:49" x14ac:dyDescent="0.35">
      <c r="B138" s="254" t="s">
        <v>82</v>
      </c>
      <c r="C138" s="255"/>
      <c r="D138" s="92" t="s">
        <v>313</v>
      </c>
      <c r="E138" s="93">
        <v>5701</v>
      </c>
      <c r="F138" s="93">
        <v>0</v>
      </c>
      <c r="G138" s="93">
        <v>123</v>
      </c>
      <c r="H138" s="93">
        <v>179217</v>
      </c>
      <c r="I138" s="93">
        <v>24182</v>
      </c>
      <c r="J138" s="93">
        <v>45006</v>
      </c>
      <c r="K138" s="93">
        <v>34809</v>
      </c>
      <c r="L138" s="93">
        <v>131870</v>
      </c>
      <c r="M138" s="93">
        <v>92068</v>
      </c>
      <c r="N138" s="93">
        <v>36353</v>
      </c>
      <c r="O138" s="93">
        <v>666041</v>
      </c>
      <c r="P138" s="93">
        <v>698342</v>
      </c>
      <c r="Q138" s="93">
        <v>983940</v>
      </c>
      <c r="R138" s="93">
        <v>1257697</v>
      </c>
      <c r="S138" s="93">
        <v>230743</v>
      </c>
      <c r="T138" s="93">
        <v>0</v>
      </c>
      <c r="U138" s="93">
        <v>10255</v>
      </c>
      <c r="V138" s="93">
        <v>3363</v>
      </c>
      <c r="W138" s="93">
        <v>176983</v>
      </c>
      <c r="X138" s="93">
        <v>257262</v>
      </c>
      <c r="Y138" s="93">
        <v>24254</v>
      </c>
      <c r="Z138" s="93">
        <v>311521</v>
      </c>
      <c r="AA138" s="93">
        <v>315013</v>
      </c>
      <c r="AB138" s="93">
        <v>127672</v>
      </c>
      <c r="AC138" s="93">
        <v>8</v>
      </c>
      <c r="AD138" s="93">
        <v>1422461</v>
      </c>
      <c r="AE138" s="93">
        <v>18939257</v>
      </c>
      <c r="AF138" s="93">
        <v>475</v>
      </c>
      <c r="AG138" s="93">
        <v>58342</v>
      </c>
      <c r="AH138" s="93">
        <v>7320</v>
      </c>
      <c r="AI138" s="93">
        <v>18597</v>
      </c>
      <c r="AJ138" s="93">
        <v>62969</v>
      </c>
      <c r="AK138" s="93">
        <v>264071</v>
      </c>
      <c r="AL138" s="93">
        <v>184703</v>
      </c>
      <c r="AM138" s="93">
        <v>2249829</v>
      </c>
      <c r="AN138" s="93">
        <v>66620</v>
      </c>
      <c r="AO138" s="93">
        <v>1753</v>
      </c>
      <c r="AP138" s="93">
        <v>47258</v>
      </c>
      <c r="AQ138" s="93">
        <v>284464</v>
      </c>
      <c r="AR138" s="93">
        <v>31836</v>
      </c>
      <c r="AS138" s="93">
        <v>2409</v>
      </c>
      <c r="AT138" s="93">
        <v>29254787</v>
      </c>
      <c r="AU138" s="92" t="s">
        <v>312</v>
      </c>
      <c r="AV138" s="258" t="s">
        <v>98</v>
      </c>
      <c r="AW138" s="259"/>
    </row>
    <row r="139" spans="2:49" x14ac:dyDescent="0.35">
      <c r="B139" s="256"/>
      <c r="C139" s="257"/>
      <c r="D139" s="94" t="s">
        <v>345</v>
      </c>
      <c r="E139" s="95">
        <v>36396714.950000003</v>
      </c>
      <c r="F139" s="95">
        <v>0</v>
      </c>
      <c r="G139" s="95">
        <v>404688.27</v>
      </c>
      <c r="H139" s="95">
        <v>890289102.65999997</v>
      </c>
      <c r="I139" s="95">
        <v>102947749.05</v>
      </c>
      <c r="J139" s="95">
        <v>232571381.88</v>
      </c>
      <c r="K139" s="95">
        <v>208362305.22</v>
      </c>
      <c r="L139" s="95">
        <v>466755439.55000001</v>
      </c>
      <c r="M139" s="95">
        <v>399998258.79000002</v>
      </c>
      <c r="N139" s="95">
        <v>149918425.15000001</v>
      </c>
      <c r="O139" s="95">
        <v>1193394445.21</v>
      </c>
      <c r="P139" s="95">
        <v>2281567793.9499998</v>
      </c>
      <c r="Q139" s="95">
        <v>1630937030.24</v>
      </c>
      <c r="R139" s="95">
        <v>1366350063.5899999</v>
      </c>
      <c r="S139" s="95">
        <v>755346065.33000004</v>
      </c>
      <c r="T139" s="95">
        <v>0</v>
      </c>
      <c r="U139" s="95">
        <v>48801272.420000002</v>
      </c>
      <c r="V139" s="95">
        <v>21047045.23</v>
      </c>
      <c r="W139" s="95">
        <v>386497449.13999999</v>
      </c>
      <c r="X139" s="95">
        <v>813499248.20000005</v>
      </c>
      <c r="Y139" s="95">
        <v>79634905.079999998</v>
      </c>
      <c r="Z139" s="95">
        <v>1600234765.47</v>
      </c>
      <c r="AA139" s="95">
        <v>1576971479.01</v>
      </c>
      <c r="AB139" s="95">
        <v>456718217.56999999</v>
      </c>
      <c r="AC139" s="95">
        <v>22916.53</v>
      </c>
      <c r="AD139" s="95">
        <v>9156680274.9200001</v>
      </c>
      <c r="AE139" s="95">
        <v>139883930039.89999</v>
      </c>
      <c r="AF139" s="95">
        <v>6517805.5999999996</v>
      </c>
      <c r="AG139" s="95">
        <v>282984180.72000003</v>
      </c>
      <c r="AH139" s="95">
        <v>64703090.039999999</v>
      </c>
      <c r="AI139" s="95">
        <v>82132113.75</v>
      </c>
      <c r="AJ139" s="95">
        <v>134696254.13</v>
      </c>
      <c r="AK139" s="95">
        <v>361400192.51999998</v>
      </c>
      <c r="AL139" s="95">
        <v>390734885.99000001</v>
      </c>
      <c r="AM139" s="95">
        <v>9010554660.6599998</v>
      </c>
      <c r="AN139" s="95">
        <v>131011296.02</v>
      </c>
      <c r="AO139" s="95">
        <v>7514087.1100000003</v>
      </c>
      <c r="AP139" s="95">
        <v>247982065.50999999</v>
      </c>
      <c r="AQ139" s="95">
        <v>1849301809.4200001</v>
      </c>
      <c r="AR139" s="95">
        <v>293050466.93000001</v>
      </c>
      <c r="AS139" s="95">
        <v>26832747.73</v>
      </c>
      <c r="AT139" s="95">
        <v>176628692733.44</v>
      </c>
      <c r="AU139" s="94" t="s">
        <v>344</v>
      </c>
      <c r="AV139" s="260"/>
      <c r="AW139" s="261"/>
    </row>
  </sheetData>
  <mergeCells count="173">
    <mergeCell ref="C136:C137"/>
    <mergeCell ref="AV136:AV137"/>
    <mergeCell ref="B138:C139"/>
    <mergeCell ref="AV138:AW139"/>
    <mergeCell ref="B114:B137"/>
    <mergeCell ref="C114:C115"/>
    <mergeCell ref="AV114:AV115"/>
    <mergeCell ref="AW114:AW137"/>
    <mergeCell ref="C116:C117"/>
    <mergeCell ref="AV116:AV117"/>
    <mergeCell ref="C118:C119"/>
    <mergeCell ref="AV118:AV119"/>
    <mergeCell ref="C120:C121"/>
    <mergeCell ref="AV120:AV121"/>
    <mergeCell ref="C122:C123"/>
    <mergeCell ref="AV122:AV123"/>
    <mergeCell ref="C124:C125"/>
    <mergeCell ref="AV124:AV125"/>
    <mergeCell ref="C126:C127"/>
    <mergeCell ref="AV126:AV127"/>
    <mergeCell ref="C128:C129"/>
    <mergeCell ref="AV128:AV129"/>
    <mergeCell ref="C130:C131"/>
    <mergeCell ref="AV130:AV131"/>
    <mergeCell ref="C132:C133"/>
    <mergeCell ref="AV132:AV133"/>
    <mergeCell ref="C134:C135"/>
    <mergeCell ref="AV134:AV135"/>
    <mergeCell ref="B34:C35"/>
    <mergeCell ref="AV34:AW35"/>
    <mergeCell ref="B10:B33"/>
    <mergeCell ref="AV22:AV23"/>
    <mergeCell ref="C24:C25"/>
    <mergeCell ref="AV24:AV25"/>
    <mergeCell ref="C26:C27"/>
    <mergeCell ref="AV26:AV27"/>
    <mergeCell ref="C28:C29"/>
    <mergeCell ref="AV28:AV29"/>
    <mergeCell ref="AW10:AW33"/>
    <mergeCell ref="C12:C13"/>
    <mergeCell ref="AV12:AV13"/>
    <mergeCell ref="C14:C15"/>
    <mergeCell ref="AV14:AV15"/>
    <mergeCell ref="C16:C17"/>
    <mergeCell ref="AV16:AV17"/>
    <mergeCell ref="C30:C31"/>
    <mergeCell ref="AV30:AV31"/>
    <mergeCell ref="C32:C33"/>
    <mergeCell ref="AV32:AV33"/>
    <mergeCell ref="C20:C21"/>
    <mergeCell ref="C10:C11"/>
    <mergeCell ref="AV10:AV11"/>
    <mergeCell ref="AV20:AV21"/>
    <mergeCell ref="AF4:AV4"/>
    <mergeCell ref="E6:G6"/>
    <mergeCell ref="H6:K6"/>
    <mergeCell ref="L6:N6"/>
    <mergeCell ref="O6:R6"/>
    <mergeCell ref="S6:T6"/>
    <mergeCell ref="U6:V6"/>
    <mergeCell ref="W6:Y6"/>
    <mergeCell ref="Z6:AC6"/>
    <mergeCell ref="AD6:AH6"/>
    <mergeCell ref="AI6:AJ6"/>
    <mergeCell ref="AK6:AL6"/>
    <mergeCell ref="AM6:AN6"/>
    <mergeCell ref="AO6:AS6"/>
    <mergeCell ref="C46:C47"/>
    <mergeCell ref="AV46:AV47"/>
    <mergeCell ref="C48:C49"/>
    <mergeCell ref="AV48:AV49"/>
    <mergeCell ref="O7:R7"/>
    <mergeCell ref="S7:T7"/>
    <mergeCell ref="C22:C23"/>
    <mergeCell ref="AV8:AV9"/>
    <mergeCell ref="W7:Y7"/>
    <mergeCell ref="Z7:AC7"/>
    <mergeCell ref="AD7:AH7"/>
    <mergeCell ref="AI7:AJ7"/>
    <mergeCell ref="AK7:AL7"/>
    <mergeCell ref="AM7:AN7"/>
    <mergeCell ref="U7:V7"/>
    <mergeCell ref="AO7:AS7"/>
    <mergeCell ref="C8:C9"/>
    <mergeCell ref="D8:D9"/>
    <mergeCell ref="AU8:AU9"/>
    <mergeCell ref="E7:G7"/>
    <mergeCell ref="H7:K7"/>
    <mergeCell ref="L7:N7"/>
    <mergeCell ref="C18:C19"/>
    <mergeCell ref="AV18:AV19"/>
    <mergeCell ref="C56:C57"/>
    <mergeCell ref="AV56:AV57"/>
    <mergeCell ref="C58:C59"/>
    <mergeCell ref="AV58:AV59"/>
    <mergeCell ref="B60:C61"/>
    <mergeCell ref="AV60:AW61"/>
    <mergeCell ref="B36:B59"/>
    <mergeCell ref="C36:C37"/>
    <mergeCell ref="AV36:AV37"/>
    <mergeCell ref="AW36:AW59"/>
    <mergeCell ref="C38:C39"/>
    <mergeCell ref="AV38:AV39"/>
    <mergeCell ref="C40:C41"/>
    <mergeCell ref="AV40:AV41"/>
    <mergeCell ref="C42:C43"/>
    <mergeCell ref="AV42:AV43"/>
    <mergeCell ref="C50:C51"/>
    <mergeCell ref="AV50:AV51"/>
    <mergeCell ref="C52:C53"/>
    <mergeCell ref="AV52:AV53"/>
    <mergeCell ref="C54:C55"/>
    <mergeCell ref="AV54:AV55"/>
    <mergeCell ref="C44:C45"/>
    <mergeCell ref="AV44:AV45"/>
    <mergeCell ref="C66:C67"/>
    <mergeCell ref="AV66:AV67"/>
    <mergeCell ref="C68:C69"/>
    <mergeCell ref="AV68:AV69"/>
    <mergeCell ref="C70:C71"/>
    <mergeCell ref="AV70:AV71"/>
    <mergeCell ref="C72:C73"/>
    <mergeCell ref="AV72:AV73"/>
    <mergeCell ref="C74:C75"/>
    <mergeCell ref="AV74:AV75"/>
    <mergeCell ref="C106:C107"/>
    <mergeCell ref="AV106:AV107"/>
    <mergeCell ref="C108:C109"/>
    <mergeCell ref="AV108:AV109"/>
    <mergeCell ref="A2:E2"/>
    <mergeCell ref="A3:E3"/>
    <mergeCell ref="C82:C83"/>
    <mergeCell ref="AV82:AV83"/>
    <mergeCell ref="C84:C85"/>
    <mergeCell ref="AV84:AV85"/>
    <mergeCell ref="B86:C87"/>
    <mergeCell ref="AV86:AW87"/>
    <mergeCell ref="C76:C77"/>
    <mergeCell ref="AV76:AV77"/>
    <mergeCell ref="C78:C79"/>
    <mergeCell ref="AV78:AV79"/>
    <mergeCell ref="C80:C81"/>
    <mergeCell ref="AV80:AV81"/>
    <mergeCell ref="B62:B85"/>
    <mergeCell ref="C62:C63"/>
    <mergeCell ref="AV62:AV63"/>
    <mergeCell ref="AW62:AW85"/>
    <mergeCell ref="C64:C65"/>
    <mergeCell ref="AV64:AV65"/>
    <mergeCell ref="C110:C111"/>
    <mergeCell ref="AV110:AV111"/>
    <mergeCell ref="B112:C113"/>
    <mergeCell ref="AV112:AW113"/>
    <mergeCell ref="B88:B111"/>
    <mergeCell ref="C88:C89"/>
    <mergeCell ref="AV88:AV89"/>
    <mergeCell ref="AW88:AW111"/>
    <mergeCell ref="C90:C91"/>
    <mergeCell ref="AV90:AV91"/>
    <mergeCell ref="C92:C93"/>
    <mergeCell ref="AV92:AV93"/>
    <mergeCell ref="C94:C95"/>
    <mergeCell ref="AV94:AV95"/>
    <mergeCell ref="C96:C97"/>
    <mergeCell ref="AV96:AV97"/>
    <mergeCell ref="C98:C99"/>
    <mergeCell ref="AV98:AV99"/>
    <mergeCell ref="C100:C101"/>
    <mergeCell ref="AV100:AV101"/>
    <mergeCell ref="C102:C103"/>
    <mergeCell ref="AV102:AV103"/>
    <mergeCell ref="C104:C105"/>
    <mergeCell ref="AV104:AV105"/>
  </mergeCells>
  <pageMargins left="0.7" right="0.7" top="0.75" bottom="0.75" header="0.3" footer="0.3"/>
  <pageSetup orientation="portrait" r:id="rId1"/>
  <headerFooter>
    <oddFooter>&amp;C&amp;1#&amp;"Calibri"&amp;11&amp;Kffa500CONFIDENTIAL▮▮مقيّد</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I71"/>
  <sheetViews>
    <sheetView showGridLines="0" zoomScale="80" zoomScaleNormal="80" workbookViewId="0"/>
  </sheetViews>
  <sheetFormatPr defaultColWidth="8.81640625" defaultRowHeight="14.5" x14ac:dyDescent="0.35"/>
  <cols>
    <col min="3" max="5" width="17.81640625" bestFit="1" customWidth="1"/>
    <col min="6" max="6" width="18.54296875" customWidth="1"/>
    <col min="7" max="7" width="21.453125" customWidth="1"/>
    <col min="8" max="8" width="22.453125" bestFit="1" customWidth="1"/>
    <col min="10" max="10" width="17.81640625" bestFit="1" customWidth="1"/>
    <col min="11" max="12" width="17.54296875" customWidth="1"/>
    <col min="21" max="21" width="10.1796875" bestFit="1" customWidth="1"/>
    <col min="25" max="25" width="9.1796875" bestFit="1" customWidth="1"/>
  </cols>
  <sheetData>
    <row r="1" spans="1:9" x14ac:dyDescent="0.35">
      <c r="A1" s="9" t="s">
        <v>524</v>
      </c>
    </row>
    <row r="2" spans="1:9" x14ac:dyDescent="0.35">
      <c r="A2" s="232"/>
      <c r="B2" s="232"/>
      <c r="C2" s="232"/>
      <c r="D2" s="232"/>
      <c r="E2" s="232"/>
    </row>
    <row r="3" spans="1:9" x14ac:dyDescent="0.35">
      <c r="A3" s="232"/>
      <c r="B3" s="232"/>
      <c r="C3" s="232"/>
      <c r="D3" s="232"/>
      <c r="E3" s="232"/>
    </row>
    <row r="4" spans="1:9" ht="18" customHeight="1" x14ac:dyDescent="0.35">
      <c r="A4" s="10" t="s">
        <v>134</v>
      </c>
      <c r="B4" s="30" t="s">
        <v>349</v>
      </c>
      <c r="C4" s="13"/>
      <c r="D4" s="13"/>
      <c r="E4" s="13"/>
      <c r="F4" s="13"/>
      <c r="G4" s="30"/>
      <c r="H4" s="30"/>
      <c r="I4" s="31" t="s">
        <v>329</v>
      </c>
    </row>
    <row r="5" spans="1:9" ht="18" customHeight="1" x14ac:dyDescent="0.35">
      <c r="B5" s="59"/>
      <c r="C5" s="60"/>
      <c r="I5" s="59"/>
    </row>
    <row r="6" spans="1:9" ht="29" x14ac:dyDescent="0.35">
      <c r="B6" s="59"/>
      <c r="C6" s="61" t="s">
        <v>99</v>
      </c>
      <c r="D6" s="62" t="s">
        <v>110</v>
      </c>
      <c r="E6" s="62" t="s">
        <v>111</v>
      </c>
      <c r="F6" s="62" t="s">
        <v>112</v>
      </c>
      <c r="G6" s="62" t="s">
        <v>84</v>
      </c>
      <c r="H6" s="63" t="s">
        <v>100</v>
      </c>
      <c r="I6" s="59"/>
    </row>
    <row r="7" spans="1:9" ht="18" customHeight="1" x14ac:dyDescent="0.35">
      <c r="B7" s="233">
        <v>2021</v>
      </c>
      <c r="C7" s="64" t="s">
        <v>70</v>
      </c>
      <c r="D7" s="65">
        <v>169.74799999999999</v>
      </c>
      <c r="E7" s="65">
        <v>63.017000000000003</v>
      </c>
      <c r="F7" s="65">
        <v>0</v>
      </c>
      <c r="G7" s="65">
        <v>232.76499999999999</v>
      </c>
      <c r="H7" s="66" t="s">
        <v>86</v>
      </c>
      <c r="I7" s="236">
        <v>2021</v>
      </c>
    </row>
    <row r="8" spans="1:9" ht="18" customHeight="1" x14ac:dyDescent="0.35">
      <c r="B8" s="234"/>
      <c r="C8" s="64" t="s">
        <v>71</v>
      </c>
      <c r="D8" s="65">
        <v>95.367000000000004</v>
      </c>
      <c r="E8" s="65">
        <v>29.664999999999999</v>
      </c>
      <c r="F8" s="65">
        <v>0</v>
      </c>
      <c r="G8" s="65">
        <v>125.032</v>
      </c>
      <c r="H8" s="66" t="s">
        <v>87</v>
      </c>
      <c r="I8" s="237"/>
    </row>
    <row r="9" spans="1:9" ht="18" customHeight="1" x14ac:dyDescent="0.35">
      <c r="B9" s="234"/>
      <c r="C9" s="64" t="s">
        <v>72</v>
      </c>
      <c r="D9" s="65">
        <v>117.80500000000001</v>
      </c>
      <c r="E9" s="65">
        <v>30.486999999999998</v>
      </c>
      <c r="F9" s="65">
        <v>2E-3</v>
      </c>
      <c r="G9" s="65">
        <v>148.29400000000001</v>
      </c>
      <c r="H9" s="66" t="s">
        <v>88</v>
      </c>
      <c r="I9" s="237"/>
    </row>
    <row r="10" spans="1:9" ht="18" customHeight="1" x14ac:dyDescent="0.35">
      <c r="B10" s="234"/>
      <c r="C10" s="64" t="s">
        <v>73</v>
      </c>
      <c r="D10" s="65">
        <v>139.28399999999999</v>
      </c>
      <c r="E10" s="65">
        <v>35.159999999999997</v>
      </c>
      <c r="F10" s="65">
        <v>1.587</v>
      </c>
      <c r="G10" s="65">
        <v>176.03100000000001</v>
      </c>
      <c r="H10" s="66" t="s">
        <v>89</v>
      </c>
      <c r="I10" s="237"/>
    </row>
    <row r="11" spans="1:9" ht="18" customHeight="1" x14ac:dyDescent="0.35">
      <c r="B11" s="234"/>
      <c r="C11" s="64" t="s">
        <v>74</v>
      </c>
      <c r="D11" s="65">
        <v>131.75899999999999</v>
      </c>
      <c r="E11" s="65">
        <v>52.908000000000001</v>
      </c>
      <c r="F11" s="65">
        <v>0.17799999999999999</v>
      </c>
      <c r="G11" s="65">
        <v>184.845</v>
      </c>
      <c r="H11" s="66" t="s">
        <v>90</v>
      </c>
      <c r="I11" s="237"/>
    </row>
    <row r="12" spans="1:9" ht="18" customHeight="1" x14ac:dyDescent="0.35">
      <c r="B12" s="234"/>
      <c r="C12" s="64" t="s">
        <v>75</v>
      </c>
      <c r="D12" s="65">
        <v>128.988</v>
      </c>
      <c r="E12" s="65">
        <v>45.906999999999996</v>
      </c>
      <c r="F12" s="65">
        <v>0.53600000000000003</v>
      </c>
      <c r="G12" s="65">
        <v>175.43100000000001</v>
      </c>
      <c r="H12" s="66" t="s">
        <v>91</v>
      </c>
      <c r="I12" s="237"/>
    </row>
    <row r="13" spans="1:9" ht="18" customHeight="1" x14ac:dyDescent="0.35">
      <c r="B13" s="234"/>
      <c r="C13" s="64" t="s">
        <v>76</v>
      </c>
      <c r="D13" s="65">
        <v>141.55699999999999</v>
      </c>
      <c r="E13" s="65">
        <v>85.477999999999994</v>
      </c>
      <c r="F13" s="65">
        <v>4.26</v>
      </c>
      <c r="G13" s="65">
        <v>231.29499999999999</v>
      </c>
      <c r="H13" s="66" t="s">
        <v>92</v>
      </c>
      <c r="I13" s="237"/>
    </row>
    <row r="14" spans="1:9" ht="18" customHeight="1" x14ac:dyDescent="0.35">
      <c r="B14" s="234"/>
      <c r="C14" s="64" t="s">
        <v>77</v>
      </c>
      <c r="D14" s="65">
        <v>156.29499999999999</v>
      </c>
      <c r="E14" s="65">
        <v>101.069</v>
      </c>
      <c r="F14" s="65">
        <v>0</v>
      </c>
      <c r="G14" s="65">
        <v>257.36399999999998</v>
      </c>
      <c r="H14" s="66" t="s">
        <v>93</v>
      </c>
      <c r="I14" s="237"/>
    </row>
    <row r="15" spans="1:9" ht="18" customHeight="1" x14ac:dyDescent="0.35">
      <c r="B15" s="234"/>
      <c r="C15" s="64" t="s">
        <v>78</v>
      </c>
      <c r="D15" s="65">
        <v>194.29900000000001</v>
      </c>
      <c r="E15" s="65">
        <v>113.864</v>
      </c>
      <c r="F15" s="65">
        <v>0</v>
      </c>
      <c r="G15" s="65">
        <v>308.16300000000001</v>
      </c>
      <c r="H15" s="66" t="s">
        <v>94</v>
      </c>
      <c r="I15" s="237"/>
    </row>
    <row r="16" spans="1:9" ht="18" customHeight="1" x14ac:dyDescent="0.35">
      <c r="B16" s="234"/>
      <c r="C16" s="64" t="s">
        <v>79</v>
      </c>
      <c r="D16" s="65">
        <v>292.36</v>
      </c>
      <c r="E16" s="65">
        <v>160.624</v>
      </c>
      <c r="F16" s="65">
        <v>0</v>
      </c>
      <c r="G16" s="65">
        <v>452.98500000000001</v>
      </c>
      <c r="H16" s="66" t="s">
        <v>95</v>
      </c>
      <c r="I16" s="237"/>
    </row>
    <row r="17" spans="2:9" ht="18" customHeight="1" x14ac:dyDescent="0.35">
      <c r="B17" s="234"/>
      <c r="C17" s="64" t="s">
        <v>80</v>
      </c>
      <c r="D17" s="65">
        <v>355.31599999999997</v>
      </c>
      <c r="E17" s="65">
        <v>138.27799999999999</v>
      </c>
      <c r="F17" s="65">
        <v>0</v>
      </c>
      <c r="G17" s="65">
        <v>493.59300000000002</v>
      </c>
      <c r="H17" s="66" t="s">
        <v>96</v>
      </c>
      <c r="I17" s="237"/>
    </row>
    <row r="18" spans="2:9" ht="18" customHeight="1" x14ac:dyDescent="0.35">
      <c r="B18" s="235"/>
      <c r="C18" s="96" t="s">
        <v>81</v>
      </c>
      <c r="D18" s="65">
        <v>501.27</v>
      </c>
      <c r="E18" s="65">
        <v>190.148</v>
      </c>
      <c r="F18" s="65">
        <v>0</v>
      </c>
      <c r="G18" s="65">
        <v>691.41800000000001</v>
      </c>
      <c r="H18" s="97" t="s">
        <v>97</v>
      </c>
      <c r="I18" s="238"/>
    </row>
    <row r="19" spans="2:9" ht="18" customHeight="1" x14ac:dyDescent="0.35">
      <c r="B19" s="282" t="s">
        <v>85</v>
      </c>
      <c r="C19" s="283"/>
      <c r="D19" s="69">
        <v>2424.0479999999998</v>
      </c>
      <c r="E19" s="69">
        <v>1046.605</v>
      </c>
      <c r="F19" s="69">
        <v>6.5629999999999997</v>
      </c>
      <c r="G19" s="69">
        <v>3477.2159999999999</v>
      </c>
      <c r="H19" s="284" t="s">
        <v>98</v>
      </c>
      <c r="I19" s="285"/>
    </row>
    <row r="20" spans="2:9" x14ac:dyDescent="0.35">
      <c r="B20" s="233">
        <v>2022</v>
      </c>
      <c r="C20" s="64" t="s">
        <v>70</v>
      </c>
      <c r="D20" s="65">
        <v>279.43</v>
      </c>
      <c r="E20" s="65">
        <v>261.48500000000001</v>
      </c>
      <c r="F20" s="65">
        <v>8.0210000000000008</v>
      </c>
      <c r="G20" s="65">
        <v>548.93600000000004</v>
      </c>
      <c r="H20" s="66" t="s">
        <v>86</v>
      </c>
      <c r="I20" s="236">
        <v>2022</v>
      </c>
    </row>
    <row r="21" spans="2:9" x14ac:dyDescent="0.35">
      <c r="B21" s="234"/>
      <c r="C21" s="64" t="s">
        <v>71</v>
      </c>
      <c r="D21" s="65">
        <v>399.93700000000001</v>
      </c>
      <c r="E21" s="65">
        <v>283.05200000000002</v>
      </c>
      <c r="F21" s="65">
        <v>6.0510000000000002</v>
      </c>
      <c r="G21" s="65">
        <v>689.04</v>
      </c>
      <c r="H21" s="66" t="s">
        <v>87</v>
      </c>
      <c r="I21" s="237"/>
    </row>
    <row r="22" spans="2:9" x14ac:dyDescent="0.35">
      <c r="B22" s="234"/>
      <c r="C22" s="64" t="s">
        <v>72</v>
      </c>
      <c r="D22" s="65">
        <v>656.59</v>
      </c>
      <c r="E22" s="65">
        <v>552.59299999999996</v>
      </c>
      <c r="F22" s="65">
        <v>7.931</v>
      </c>
      <c r="G22" s="65">
        <v>1217.114</v>
      </c>
      <c r="H22" s="66" t="s">
        <v>88</v>
      </c>
      <c r="I22" s="237"/>
    </row>
    <row r="23" spans="2:9" x14ac:dyDescent="0.35">
      <c r="B23" s="234"/>
      <c r="C23" s="64" t="s">
        <v>73</v>
      </c>
      <c r="D23" s="65">
        <v>1068.3050000000001</v>
      </c>
      <c r="E23" s="65">
        <v>536.84299999999996</v>
      </c>
      <c r="F23" s="65">
        <v>7.3390000000000004</v>
      </c>
      <c r="G23" s="65">
        <v>1612.4870000000001</v>
      </c>
      <c r="H23" s="66" t="s">
        <v>89</v>
      </c>
      <c r="I23" s="237"/>
    </row>
    <row r="24" spans="2:9" x14ac:dyDescent="0.35">
      <c r="B24" s="234"/>
      <c r="C24" s="64" t="s">
        <v>74</v>
      </c>
      <c r="D24" s="65">
        <v>533.97699999999998</v>
      </c>
      <c r="E24" s="65">
        <v>566.49300000000005</v>
      </c>
      <c r="F24" s="65">
        <v>3.9009999999999998</v>
      </c>
      <c r="G24" s="65">
        <v>1104.3710000000001</v>
      </c>
      <c r="H24" s="66" t="s">
        <v>90</v>
      </c>
      <c r="I24" s="237"/>
    </row>
    <row r="25" spans="2:9" x14ac:dyDescent="0.35">
      <c r="B25" s="234"/>
      <c r="C25" s="64" t="s">
        <v>75</v>
      </c>
      <c r="D25" s="65">
        <v>282.27499999999998</v>
      </c>
      <c r="E25" s="65">
        <v>580.19100000000003</v>
      </c>
      <c r="F25" s="65">
        <v>4.75</v>
      </c>
      <c r="G25" s="65">
        <v>867.21600000000001</v>
      </c>
      <c r="H25" s="66" t="s">
        <v>91</v>
      </c>
      <c r="I25" s="237"/>
    </row>
    <row r="26" spans="2:9" x14ac:dyDescent="0.35">
      <c r="B26" s="234"/>
      <c r="C26" s="64" t="s">
        <v>76</v>
      </c>
      <c r="D26" s="65">
        <v>997.88900000000001</v>
      </c>
      <c r="E26" s="65">
        <v>757.60599999999999</v>
      </c>
      <c r="F26" s="65">
        <v>10.131</v>
      </c>
      <c r="G26" s="65">
        <v>1765.626</v>
      </c>
      <c r="H26" s="66" t="s">
        <v>92</v>
      </c>
      <c r="I26" s="237"/>
    </row>
    <row r="27" spans="2:9" x14ac:dyDescent="0.35">
      <c r="B27" s="234"/>
      <c r="C27" s="64" t="s">
        <v>77</v>
      </c>
      <c r="D27" s="65">
        <v>625.58600000000001</v>
      </c>
      <c r="E27" s="65">
        <v>679.54399999999998</v>
      </c>
      <c r="F27" s="65">
        <v>5.4429999999999996</v>
      </c>
      <c r="G27" s="65">
        <v>1310.5730000000001</v>
      </c>
      <c r="H27" s="66" t="s">
        <v>93</v>
      </c>
      <c r="I27" s="237"/>
    </row>
    <row r="28" spans="2:9" x14ac:dyDescent="0.35">
      <c r="B28" s="234"/>
      <c r="C28" s="64" t="s">
        <v>78</v>
      </c>
      <c r="D28" s="65">
        <v>922.702</v>
      </c>
      <c r="E28" s="65">
        <v>610.33000000000004</v>
      </c>
      <c r="F28" s="65">
        <v>5.9450000000000003</v>
      </c>
      <c r="G28" s="65">
        <v>1538.9770000000001</v>
      </c>
      <c r="H28" s="66" t="s">
        <v>94</v>
      </c>
      <c r="I28" s="237"/>
    </row>
    <row r="29" spans="2:9" x14ac:dyDescent="0.35">
      <c r="B29" s="234"/>
      <c r="C29" s="64" t="s">
        <v>79</v>
      </c>
      <c r="D29" s="65">
        <v>1145.1310000000001</v>
      </c>
      <c r="E29" s="65">
        <v>601.61199999999997</v>
      </c>
      <c r="F29" s="65">
        <v>6.0309999999999997</v>
      </c>
      <c r="G29" s="65">
        <v>1752.7739999999999</v>
      </c>
      <c r="H29" s="66" t="s">
        <v>95</v>
      </c>
      <c r="I29" s="237"/>
    </row>
    <row r="30" spans="2:9" x14ac:dyDescent="0.35">
      <c r="B30" s="234"/>
      <c r="C30" s="64" t="s">
        <v>80</v>
      </c>
      <c r="D30" s="65">
        <v>1191.8720000000001</v>
      </c>
      <c r="E30" s="65">
        <v>636.70899999999995</v>
      </c>
      <c r="F30" s="65">
        <v>11.44</v>
      </c>
      <c r="G30" s="65">
        <v>1840.021</v>
      </c>
      <c r="H30" s="66" t="s">
        <v>96</v>
      </c>
      <c r="I30" s="237"/>
    </row>
    <row r="31" spans="2:9" x14ac:dyDescent="0.35">
      <c r="B31" s="235"/>
      <c r="C31" s="96" t="s">
        <v>81</v>
      </c>
      <c r="D31" s="65">
        <v>1386.9490000000001</v>
      </c>
      <c r="E31" s="65">
        <v>988.78200000000004</v>
      </c>
      <c r="F31" s="65">
        <v>14.994999999999999</v>
      </c>
      <c r="G31" s="65">
        <v>2390.7260000000001</v>
      </c>
      <c r="H31" s="97" t="s">
        <v>97</v>
      </c>
      <c r="I31" s="238"/>
    </row>
    <row r="32" spans="2:9" x14ac:dyDescent="0.35">
      <c r="B32" s="282" t="s">
        <v>85</v>
      </c>
      <c r="C32" s="283"/>
      <c r="D32" s="69">
        <v>9490.6440000000002</v>
      </c>
      <c r="E32" s="69">
        <v>7055.2389999999996</v>
      </c>
      <c r="F32" s="69">
        <v>91.977999999999994</v>
      </c>
      <c r="G32" s="69">
        <v>16637.861000000001</v>
      </c>
      <c r="H32" s="284" t="s">
        <v>98</v>
      </c>
      <c r="I32" s="285"/>
    </row>
    <row r="33" spans="2:9" x14ac:dyDescent="0.35">
      <c r="B33" s="233">
        <v>2023</v>
      </c>
      <c r="C33" s="64" t="s">
        <v>70</v>
      </c>
      <c r="D33" s="65">
        <v>1444.9839999999999</v>
      </c>
      <c r="E33" s="65">
        <v>1015.991</v>
      </c>
      <c r="F33" s="65">
        <v>20.893999999999998</v>
      </c>
      <c r="G33" s="65">
        <v>2481.8690000000001</v>
      </c>
      <c r="H33" s="66" t="s">
        <v>86</v>
      </c>
      <c r="I33" s="236">
        <v>2023</v>
      </c>
    </row>
    <row r="34" spans="2:9" x14ac:dyDescent="0.35">
      <c r="B34" s="234"/>
      <c r="C34" s="64" t="s">
        <v>71</v>
      </c>
      <c r="D34" s="65">
        <v>1503.18</v>
      </c>
      <c r="E34" s="65">
        <v>928.88599999999997</v>
      </c>
      <c r="F34" s="65">
        <v>23.710999999999999</v>
      </c>
      <c r="G34" s="65">
        <v>2455.777</v>
      </c>
      <c r="H34" s="66" t="s">
        <v>87</v>
      </c>
      <c r="I34" s="237"/>
    </row>
    <row r="35" spans="2:9" x14ac:dyDescent="0.35">
      <c r="B35" s="234"/>
      <c r="C35" s="64" t="s">
        <v>72</v>
      </c>
      <c r="D35" s="65">
        <v>1878.5630000000001</v>
      </c>
      <c r="E35" s="65">
        <v>956.13699999999994</v>
      </c>
      <c r="F35" s="65">
        <v>34.847000000000001</v>
      </c>
      <c r="G35" s="65">
        <v>2869.547</v>
      </c>
      <c r="H35" s="66" t="s">
        <v>88</v>
      </c>
      <c r="I35" s="237"/>
    </row>
    <row r="36" spans="2:9" x14ac:dyDescent="0.35">
      <c r="B36" s="234"/>
      <c r="C36" s="64" t="s">
        <v>73</v>
      </c>
      <c r="D36" s="65">
        <v>1504.501</v>
      </c>
      <c r="E36" s="65">
        <v>895.76800000000003</v>
      </c>
      <c r="F36" s="65">
        <v>23.872</v>
      </c>
      <c r="G36" s="65">
        <v>2424.1410000000001</v>
      </c>
      <c r="H36" s="66" t="s">
        <v>89</v>
      </c>
      <c r="I36" s="237"/>
    </row>
    <row r="37" spans="2:9" x14ac:dyDescent="0.35">
      <c r="B37" s="234"/>
      <c r="C37" s="64" t="s">
        <v>74</v>
      </c>
      <c r="D37" s="65">
        <v>856.53399999999999</v>
      </c>
      <c r="E37" s="65">
        <v>637.66</v>
      </c>
      <c r="F37" s="65">
        <v>20.206</v>
      </c>
      <c r="G37" s="65">
        <v>1514.4</v>
      </c>
      <c r="H37" s="66" t="s">
        <v>90</v>
      </c>
      <c r="I37" s="237"/>
    </row>
    <row r="38" spans="2:9" x14ac:dyDescent="0.35">
      <c r="B38" s="234"/>
      <c r="C38" s="64" t="s">
        <v>75</v>
      </c>
      <c r="D38" s="65">
        <v>2047.6210000000001</v>
      </c>
      <c r="E38" s="65">
        <v>785.98400000000004</v>
      </c>
      <c r="F38" s="65">
        <v>13.89</v>
      </c>
      <c r="G38" s="65">
        <v>2847.4949999999999</v>
      </c>
      <c r="H38" s="66" t="s">
        <v>91</v>
      </c>
      <c r="I38" s="237"/>
    </row>
    <row r="39" spans="2:9" x14ac:dyDescent="0.35">
      <c r="B39" s="234"/>
      <c r="C39" s="64" t="s">
        <v>76</v>
      </c>
      <c r="D39" s="65">
        <v>520.28499999999997</v>
      </c>
      <c r="E39" s="65">
        <v>821.1</v>
      </c>
      <c r="F39" s="65">
        <v>8.3849999999999998</v>
      </c>
      <c r="G39" s="65">
        <v>1349.77</v>
      </c>
      <c r="H39" s="66" t="s">
        <v>92</v>
      </c>
      <c r="I39" s="237"/>
    </row>
    <row r="40" spans="2:9" x14ac:dyDescent="0.35">
      <c r="B40" s="234"/>
      <c r="C40" s="64" t="s">
        <v>77</v>
      </c>
      <c r="D40" s="65">
        <v>1153.6949999999999</v>
      </c>
      <c r="E40" s="65">
        <v>935.62199999999996</v>
      </c>
      <c r="F40" s="65">
        <v>19.916</v>
      </c>
      <c r="G40" s="65">
        <v>2109.2330000000002</v>
      </c>
      <c r="H40" s="66" t="s">
        <v>93</v>
      </c>
      <c r="I40" s="237"/>
    </row>
    <row r="41" spans="2:9" x14ac:dyDescent="0.35">
      <c r="B41" s="234"/>
      <c r="C41" s="64" t="s">
        <v>78</v>
      </c>
      <c r="D41" s="65">
        <v>1278.8910000000001</v>
      </c>
      <c r="E41" s="65">
        <v>733.11400000000003</v>
      </c>
      <c r="F41" s="65">
        <v>27.913</v>
      </c>
      <c r="G41" s="65">
        <v>2039.9179999999999</v>
      </c>
      <c r="H41" s="66" t="s">
        <v>94</v>
      </c>
      <c r="I41" s="237"/>
    </row>
    <row r="42" spans="2:9" x14ac:dyDescent="0.35">
      <c r="B42" s="234"/>
      <c r="C42" s="64" t="s">
        <v>79</v>
      </c>
      <c r="D42" s="65">
        <v>1477.306</v>
      </c>
      <c r="E42" s="65">
        <v>694.21600000000001</v>
      </c>
      <c r="F42" s="65">
        <v>19.516999999999999</v>
      </c>
      <c r="G42" s="65">
        <v>2191.0390000000002</v>
      </c>
      <c r="H42" s="66" t="s">
        <v>95</v>
      </c>
      <c r="I42" s="237"/>
    </row>
    <row r="43" spans="2:9" x14ac:dyDescent="0.35">
      <c r="B43" s="234"/>
      <c r="C43" s="64" t="s">
        <v>80</v>
      </c>
      <c r="D43" s="65">
        <v>1495.248</v>
      </c>
      <c r="E43" s="65">
        <v>729.99699999999996</v>
      </c>
      <c r="F43" s="65">
        <v>12.313000000000001</v>
      </c>
      <c r="G43" s="65">
        <v>2237.558</v>
      </c>
      <c r="H43" s="66" t="s">
        <v>96</v>
      </c>
      <c r="I43" s="237"/>
    </row>
    <row r="44" spans="2:9" x14ac:dyDescent="0.35">
      <c r="B44" s="235"/>
      <c r="C44" s="96" t="s">
        <v>81</v>
      </c>
      <c r="D44" s="65">
        <v>1802.413</v>
      </c>
      <c r="E44" s="65">
        <v>1086.279</v>
      </c>
      <c r="F44" s="65">
        <v>14.097</v>
      </c>
      <c r="G44" s="65">
        <v>2902.7890000000002</v>
      </c>
      <c r="H44" s="97" t="s">
        <v>97</v>
      </c>
      <c r="I44" s="238"/>
    </row>
    <row r="45" spans="2:9" x14ac:dyDescent="0.35">
      <c r="B45" s="282" t="s">
        <v>85</v>
      </c>
      <c r="C45" s="283"/>
      <c r="D45" s="69">
        <v>16963.221000000001</v>
      </c>
      <c r="E45" s="69">
        <v>10220.754000000001</v>
      </c>
      <c r="F45" s="69">
        <v>239.56100000000001</v>
      </c>
      <c r="G45" s="69">
        <v>27423.536</v>
      </c>
      <c r="H45" s="284" t="s">
        <v>98</v>
      </c>
      <c r="I45" s="285"/>
    </row>
    <row r="46" spans="2:9" x14ac:dyDescent="0.35">
      <c r="B46" s="233">
        <v>2024</v>
      </c>
      <c r="C46" s="64" t="s">
        <v>70</v>
      </c>
      <c r="D46" s="65">
        <v>1857.1990000000001</v>
      </c>
      <c r="E46" s="65">
        <v>1260.6120000000001</v>
      </c>
      <c r="F46" s="65">
        <v>16.942</v>
      </c>
      <c r="G46" s="65">
        <v>3134.7530000000002</v>
      </c>
      <c r="H46" s="66" t="s">
        <v>86</v>
      </c>
      <c r="I46" s="236">
        <v>2024</v>
      </c>
    </row>
    <row r="47" spans="2:9" x14ac:dyDescent="0.35">
      <c r="B47" s="234"/>
      <c r="C47" s="64" t="s">
        <v>71</v>
      </c>
      <c r="D47" s="65">
        <v>1895.481</v>
      </c>
      <c r="E47" s="65">
        <v>1198.162</v>
      </c>
      <c r="F47" s="65">
        <v>17.542000000000002</v>
      </c>
      <c r="G47" s="65">
        <v>3111.1849999999999</v>
      </c>
      <c r="H47" s="66" t="s">
        <v>87</v>
      </c>
      <c r="I47" s="237"/>
    </row>
    <row r="48" spans="2:9" x14ac:dyDescent="0.35">
      <c r="B48" s="234"/>
      <c r="C48" s="64" t="s">
        <v>72</v>
      </c>
      <c r="D48" s="65">
        <v>2166.962</v>
      </c>
      <c r="E48" s="65">
        <v>972.173</v>
      </c>
      <c r="F48" s="65">
        <v>21.832000000000001</v>
      </c>
      <c r="G48" s="65">
        <v>3160.9670000000001</v>
      </c>
      <c r="H48" s="66" t="s">
        <v>88</v>
      </c>
      <c r="I48" s="237"/>
    </row>
    <row r="49" spans="2:9" x14ac:dyDescent="0.35">
      <c r="B49" s="234"/>
      <c r="C49" s="64" t="s">
        <v>73</v>
      </c>
      <c r="D49" s="65">
        <v>1237.5509999999999</v>
      </c>
      <c r="E49" s="65">
        <v>810.26300000000003</v>
      </c>
      <c r="F49" s="65">
        <v>8.4809999999999999</v>
      </c>
      <c r="G49" s="65">
        <v>2056.2950000000001</v>
      </c>
      <c r="H49" s="66" t="s">
        <v>89</v>
      </c>
      <c r="I49" s="237"/>
    </row>
    <row r="50" spans="2:9" x14ac:dyDescent="0.35">
      <c r="B50" s="234"/>
      <c r="C50" s="64" t="s">
        <v>74</v>
      </c>
      <c r="D50" s="65">
        <v>869.82600000000002</v>
      </c>
      <c r="E50" s="65">
        <v>626.71600000000001</v>
      </c>
      <c r="F50" s="65">
        <v>7.4960000000000004</v>
      </c>
      <c r="G50" s="65">
        <v>1504.038</v>
      </c>
      <c r="H50" s="66" t="s">
        <v>90</v>
      </c>
      <c r="I50" s="237"/>
    </row>
    <row r="51" spans="2:9" x14ac:dyDescent="0.35">
      <c r="B51" s="234"/>
      <c r="C51" s="64" t="s">
        <v>75</v>
      </c>
      <c r="D51" s="65">
        <v>2029.049</v>
      </c>
      <c r="E51" s="65">
        <v>749.99</v>
      </c>
      <c r="F51" s="65">
        <v>10.500999999999999</v>
      </c>
      <c r="G51" s="65">
        <v>2789.54</v>
      </c>
      <c r="H51" s="66" t="s">
        <v>91</v>
      </c>
      <c r="I51" s="237"/>
    </row>
    <row r="52" spans="2:9" x14ac:dyDescent="0.35">
      <c r="B52" s="234"/>
      <c r="C52" s="64" t="s">
        <v>76</v>
      </c>
      <c r="D52" s="65">
        <v>932.94200000000001</v>
      </c>
      <c r="E52" s="65">
        <v>813.73</v>
      </c>
      <c r="F52" s="65">
        <v>9.0660000000000007</v>
      </c>
      <c r="G52" s="65">
        <v>1755.7380000000001</v>
      </c>
      <c r="H52" s="66" t="s">
        <v>92</v>
      </c>
      <c r="I52" s="237"/>
    </row>
    <row r="53" spans="2:9" x14ac:dyDescent="0.35">
      <c r="B53" s="234"/>
      <c r="C53" s="64" t="s">
        <v>77</v>
      </c>
      <c r="D53" s="65">
        <v>1222.8789999999999</v>
      </c>
      <c r="E53" s="65">
        <v>905.81299999999999</v>
      </c>
      <c r="F53" s="65">
        <v>9.7200000000000006</v>
      </c>
      <c r="G53" s="65">
        <v>2138.4119999999998</v>
      </c>
      <c r="H53" s="66" t="s">
        <v>93</v>
      </c>
      <c r="I53" s="237"/>
    </row>
    <row r="54" spans="2:9" x14ac:dyDescent="0.35">
      <c r="B54" s="234"/>
      <c r="C54" s="64" t="s">
        <v>78</v>
      </c>
      <c r="D54" s="65">
        <v>1329.1769999999999</v>
      </c>
      <c r="E54" s="65">
        <v>633.92600000000004</v>
      </c>
      <c r="F54" s="65">
        <v>8.4030000000000005</v>
      </c>
      <c r="G54" s="65">
        <v>1971.5060000000001</v>
      </c>
      <c r="H54" s="66" t="s">
        <v>94</v>
      </c>
      <c r="I54" s="237"/>
    </row>
    <row r="55" spans="2:9" x14ac:dyDescent="0.35">
      <c r="B55" s="234"/>
      <c r="C55" s="64" t="s">
        <v>79</v>
      </c>
      <c r="D55" s="65">
        <v>1693.046</v>
      </c>
      <c r="E55" s="65">
        <v>714.17</v>
      </c>
      <c r="F55" s="65">
        <v>9.3810000000000002</v>
      </c>
      <c r="G55" s="65">
        <v>2416.5970000000002</v>
      </c>
      <c r="H55" s="66" t="s">
        <v>95</v>
      </c>
      <c r="I55" s="237"/>
    </row>
    <row r="56" spans="2:9" x14ac:dyDescent="0.35">
      <c r="B56" s="234"/>
      <c r="C56" s="64" t="s">
        <v>80</v>
      </c>
      <c r="D56" s="65">
        <v>1774.6</v>
      </c>
      <c r="E56" s="65">
        <v>756.16399999999999</v>
      </c>
      <c r="F56" s="65">
        <v>10.882999999999999</v>
      </c>
      <c r="G56" s="65">
        <v>2541.6469999999999</v>
      </c>
      <c r="H56" s="66" t="s">
        <v>96</v>
      </c>
      <c r="I56" s="237"/>
    </row>
    <row r="57" spans="2:9" x14ac:dyDescent="0.35">
      <c r="B57" s="235"/>
      <c r="C57" s="96" t="s">
        <v>81</v>
      </c>
      <c r="D57" s="65">
        <v>2110.9769999999999</v>
      </c>
      <c r="E57" s="65">
        <v>1018.912</v>
      </c>
      <c r="F57" s="65">
        <v>16.876000000000001</v>
      </c>
      <c r="G57" s="65">
        <v>3146.7649999999999</v>
      </c>
      <c r="H57" s="97" t="s">
        <v>97</v>
      </c>
      <c r="I57" s="238"/>
    </row>
    <row r="58" spans="2:9" x14ac:dyDescent="0.35">
      <c r="B58" s="282" t="s">
        <v>85</v>
      </c>
      <c r="C58" s="283"/>
      <c r="D58" s="69">
        <v>19119.688999999998</v>
      </c>
      <c r="E58" s="69">
        <v>10460.630999999999</v>
      </c>
      <c r="F58" s="69">
        <v>147.12299999999999</v>
      </c>
      <c r="G58" s="69">
        <v>29727.442999999999</v>
      </c>
      <c r="H58" s="284" t="s">
        <v>98</v>
      </c>
      <c r="I58" s="285"/>
    </row>
    <row r="59" spans="2:9" x14ac:dyDescent="0.35">
      <c r="B59" s="233">
        <v>2025</v>
      </c>
      <c r="C59" s="64" t="s">
        <v>70</v>
      </c>
      <c r="D59" s="65">
        <v>2313.5210000000002</v>
      </c>
      <c r="E59" s="65">
        <v>1222.752</v>
      </c>
      <c r="F59" s="65">
        <v>17.030999999999999</v>
      </c>
      <c r="G59" s="65">
        <v>3553.3040000000001</v>
      </c>
      <c r="H59" s="66" t="s">
        <v>86</v>
      </c>
      <c r="I59" s="236">
        <v>2025</v>
      </c>
    </row>
    <row r="60" spans="2:9" x14ac:dyDescent="0.35">
      <c r="B60" s="234"/>
      <c r="C60" s="64" t="s">
        <v>71</v>
      </c>
      <c r="D60" s="65">
        <v>2217.2420000000002</v>
      </c>
      <c r="E60" s="65">
        <v>910.11500000000001</v>
      </c>
      <c r="F60" s="65">
        <v>18.146000000000001</v>
      </c>
      <c r="G60" s="65">
        <v>3145.5030000000002</v>
      </c>
      <c r="H60" s="66" t="s">
        <v>87</v>
      </c>
      <c r="I60" s="237"/>
    </row>
    <row r="61" spans="2:9" x14ac:dyDescent="0.35">
      <c r="B61" s="234"/>
      <c r="C61" s="64" t="s">
        <v>72</v>
      </c>
      <c r="D61" s="65">
        <v>2025.8979999999999</v>
      </c>
      <c r="E61" s="65">
        <v>845.99800000000005</v>
      </c>
      <c r="F61" s="65">
        <v>15.478999999999999</v>
      </c>
      <c r="G61" s="65">
        <v>2887.375</v>
      </c>
      <c r="H61" s="66" t="s">
        <v>88</v>
      </c>
      <c r="I61" s="237"/>
    </row>
    <row r="62" spans="2:9" x14ac:dyDescent="0.35">
      <c r="B62" s="234"/>
      <c r="C62" s="64" t="s">
        <v>73</v>
      </c>
      <c r="D62" s="65">
        <v>1000.111</v>
      </c>
      <c r="E62" s="65">
        <v>608.37199999999996</v>
      </c>
      <c r="F62" s="65">
        <v>9.5690000000000008</v>
      </c>
      <c r="G62" s="65">
        <v>1618.0519999999999</v>
      </c>
      <c r="H62" s="66" t="s">
        <v>89</v>
      </c>
      <c r="I62" s="237"/>
    </row>
    <row r="63" spans="2:9" x14ac:dyDescent="0.35">
      <c r="B63" s="234"/>
      <c r="C63" s="64" t="s">
        <v>74</v>
      </c>
      <c r="D63" s="65">
        <v>250.90100000000001</v>
      </c>
      <c r="E63" s="65">
        <v>479.483</v>
      </c>
      <c r="F63" s="65">
        <v>9.0030000000000001</v>
      </c>
      <c r="G63" s="65">
        <v>739.38699999999994</v>
      </c>
      <c r="H63" s="66" t="s">
        <v>90</v>
      </c>
      <c r="I63" s="237"/>
    </row>
    <row r="64" spans="2:9" x14ac:dyDescent="0.35">
      <c r="B64" s="234"/>
      <c r="C64" s="64" t="s">
        <v>75</v>
      </c>
      <c r="D64" s="65">
        <v>1786.6759999999999</v>
      </c>
      <c r="E64" s="65">
        <v>566.06600000000003</v>
      </c>
      <c r="F64" s="65">
        <v>11.537000000000001</v>
      </c>
      <c r="G64" s="65">
        <v>2364.279</v>
      </c>
      <c r="H64" s="66" t="s">
        <v>91</v>
      </c>
      <c r="I64" s="237"/>
    </row>
    <row r="65" spans="2:9" x14ac:dyDescent="0.35">
      <c r="B65" s="234"/>
      <c r="C65" s="64" t="s">
        <v>76</v>
      </c>
      <c r="D65" s="65">
        <v>1370.242</v>
      </c>
      <c r="E65" s="65">
        <v>794.52800000000002</v>
      </c>
      <c r="F65" s="65">
        <v>13.269</v>
      </c>
      <c r="G65" s="65">
        <v>2178.0390000000002</v>
      </c>
      <c r="H65" s="66" t="s">
        <v>92</v>
      </c>
      <c r="I65" s="237"/>
    </row>
    <row r="66" spans="2:9" x14ac:dyDescent="0.35">
      <c r="B66" s="234"/>
      <c r="C66" s="64" t="s">
        <v>77</v>
      </c>
      <c r="D66" s="65">
        <v>1448.6030000000001</v>
      </c>
      <c r="E66" s="65">
        <v>810.32500000000005</v>
      </c>
      <c r="F66" s="65">
        <v>18.227</v>
      </c>
      <c r="G66" s="65">
        <v>2277.1550000000002</v>
      </c>
      <c r="H66" s="66" t="s">
        <v>93</v>
      </c>
      <c r="I66" s="237"/>
    </row>
    <row r="67" spans="2:9" x14ac:dyDescent="0.35">
      <c r="B67" s="234"/>
      <c r="C67" s="64" t="s">
        <v>78</v>
      </c>
      <c r="D67" s="65">
        <v>1551.96</v>
      </c>
      <c r="E67" s="65">
        <v>586.505</v>
      </c>
      <c r="F67" s="65">
        <v>21.454999999999998</v>
      </c>
      <c r="G67" s="65">
        <v>2159.92</v>
      </c>
      <c r="H67" s="66" t="s">
        <v>94</v>
      </c>
      <c r="I67" s="237"/>
    </row>
    <row r="68" spans="2:9" x14ac:dyDescent="0.35">
      <c r="B68" s="234"/>
      <c r="C68" s="64" t="s">
        <v>79</v>
      </c>
      <c r="D68" s="65">
        <v>1844.096</v>
      </c>
      <c r="E68" s="65">
        <v>624.596</v>
      </c>
      <c r="F68" s="65">
        <v>21.565000000000001</v>
      </c>
      <c r="G68" s="65">
        <v>2490.2570000000001</v>
      </c>
      <c r="H68" s="66" t="s">
        <v>95</v>
      </c>
      <c r="I68" s="237"/>
    </row>
    <row r="69" spans="2:9" x14ac:dyDescent="0.35">
      <c r="B69" s="234"/>
      <c r="C69" s="64" t="s">
        <v>80</v>
      </c>
      <c r="D69" s="65">
        <v>2002.335</v>
      </c>
      <c r="E69" s="65">
        <v>597.50099999999998</v>
      </c>
      <c r="F69" s="65">
        <v>22.231000000000002</v>
      </c>
      <c r="G69" s="65">
        <v>2622.067</v>
      </c>
      <c r="H69" s="66" t="s">
        <v>96</v>
      </c>
      <c r="I69" s="237"/>
    </row>
    <row r="70" spans="2:9" x14ac:dyDescent="0.35">
      <c r="B70" s="235"/>
      <c r="C70" s="96" t="s">
        <v>81</v>
      </c>
      <c r="D70" s="65">
        <v>2351.5169999999998</v>
      </c>
      <c r="E70" s="65">
        <v>844.00400000000002</v>
      </c>
      <c r="F70" s="65">
        <v>23.928000000000001</v>
      </c>
      <c r="G70" s="65">
        <v>3219.4490000000001</v>
      </c>
      <c r="H70" s="97" t="s">
        <v>97</v>
      </c>
      <c r="I70" s="238"/>
    </row>
    <row r="71" spans="2:9" x14ac:dyDescent="0.35">
      <c r="B71" s="282" t="s">
        <v>85</v>
      </c>
      <c r="C71" s="283"/>
      <c r="D71" s="69">
        <v>20163.101999999999</v>
      </c>
      <c r="E71" s="69">
        <v>8890.2450000000008</v>
      </c>
      <c r="F71" s="69">
        <v>201.44</v>
      </c>
      <c r="G71" s="69">
        <v>29254.787</v>
      </c>
      <c r="H71" s="284" t="s">
        <v>98</v>
      </c>
      <c r="I71" s="285"/>
    </row>
  </sheetData>
  <mergeCells count="22">
    <mergeCell ref="B59:B70"/>
    <mergeCell ref="I59:I70"/>
    <mergeCell ref="B71:C71"/>
    <mergeCell ref="H71:I71"/>
    <mergeCell ref="B46:B57"/>
    <mergeCell ref="I46:I57"/>
    <mergeCell ref="B58:C58"/>
    <mergeCell ref="H58:I58"/>
    <mergeCell ref="A2:E2"/>
    <mergeCell ref="A3:E3"/>
    <mergeCell ref="B33:B44"/>
    <mergeCell ref="I33:I44"/>
    <mergeCell ref="B45:C45"/>
    <mergeCell ref="H45:I45"/>
    <mergeCell ref="B32:C32"/>
    <mergeCell ref="H32:I32"/>
    <mergeCell ref="B7:B18"/>
    <mergeCell ref="I7:I18"/>
    <mergeCell ref="B19:C19"/>
    <mergeCell ref="H19:I19"/>
    <mergeCell ref="B20:B31"/>
    <mergeCell ref="I20:I31"/>
  </mergeCells>
  <pageMargins left="0.7" right="0.7" top="0.75" bottom="0.75" header="0.3" footer="0.3"/>
  <pageSetup orientation="portrait" r:id="rId1"/>
  <headerFooter>
    <oddFooter>&amp;C&amp;1#&amp;"Calibri"&amp;11&amp;Kffa500CONFIDENTIAL▮▮مقيّد</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J72"/>
  <sheetViews>
    <sheetView showGridLines="0" zoomScale="80" zoomScaleNormal="80" workbookViewId="0"/>
  </sheetViews>
  <sheetFormatPr defaultColWidth="8.81640625" defaultRowHeight="14.5" x14ac:dyDescent="0.35"/>
  <cols>
    <col min="3" max="5" width="17.81640625" bestFit="1" customWidth="1"/>
    <col min="6" max="6" width="18.54296875" customWidth="1"/>
    <col min="7" max="7" width="21.453125" customWidth="1"/>
    <col min="8" max="8" width="22.453125" bestFit="1" customWidth="1"/>
    <col min="9" max="9" width="21.453125" customWidth="1"/>
    <col min="11" max="12" width="17.54296875" customWidth="1"/>
    <col min="21" max="21" width="10.1796875" bestFit="1" customWidth="1"/>
    <col min="25" max="25" width="9.1796875" bestFit="1" customWidth="1"/>
  </cols>
  <sheetData>
    <row r="1" spans="1:10" x14ac:dyDescent="0.35">
      <c r="A1" s="9" t="s">
        <v>524</v>
      </c>
    </row>
    <row r="2" spans="1:10" x14ac:dyDescent="0.35">
      <c r="A2" s="232"/>
      <c r="B2" s="232"/>
      <c r="C2" s="232"/>
      <c r="D2" s="232"/>
      <c r="E2" s="232"/>
    </row>
    <row r="3" spans="1:10" x14ac:dyDescent="0.35">
      <c r="A3" s="232"/>
      <c r="B3" s="232"/>
      <c r="C3" s="232"/>
      <c r="D3" s="232"/>
      <c r="E3" s="232"/>
    </row>
    <row r="4" spans="1:10" ht="18" customHeight="1" x14ac:dyDescent="0.35">
      <c r="A4" s="10" t="s">
        <v>135</v>
      </c>
      <c r="B4" s="30" t="s">
        <v>348</v>
      </c>
      <c r="C4" s="13"/>
      <c r="D4" s="13"/>
      <c r="E4" s="13"/>
      <c r="F4" s="13"/>
      <c r="G4" s="13"/>
      <c r="H4" s="30"/>
      <c r="I4" s="30"/>
      <c r="J4" s="31" t="s">
        <v>333</v>
      </c>
    </row>
    <row r="5" spans="1:10" ht="18" customHeight="1" x14ac:dyDescent="0.35"/>
    <row r="6" spans="1:10" ht="18" customHeight="1" x14ac:dyDescent="0.35">
      <c r="D6" s="62" t="s">
        <v>334</v>
      </c>
      <c r="E6" s="62" t="s">
        <v>287</v>
      </c>
      <c r="F6" s="62" t="s">
        <v>284</v>
      </c>
      <c r="G6" s="62" t="s">
        <v>336</v>
      </c>
      <c r="H6" s="62" t="s">
        <v>98</v>
      </c>
    </row>
    <row r="7" spans="1:10" ht="33" customHeight="1" x14ac:dyDescent="0.35">
      <c r="B7" s="59"/>
      <c r="C7" s="61" t="s">
        <v>99</v>
      </c>
      <c r="D7" s="62" t="s">
        <v>335</v>
      </c>
      <c r="E7" s="62" t="s">
        <v>285</v>
      </c>
      <c r="F7" s="62" t="s">
        <v>273</v>
      </c>
      <c r="G7" s="62" t="s">
        <v>286</v>
      </c>
      <c r="H7" s="62" t="s">
        <v>274</v>
      </c>
      <c r="I7" s="63" t="s">
        <v>100</v>
      </c>
      <c r="J7" s="59"/>
    </row>
    <row r="8" spans="1:10" ht="18" customHeight="1" x14ac:dyDescent="0.35">
      <c r="B8" s="233">
        <v>2021</v>
      </c>
      <c r="C8" s="64" t="s">
        <v>70</v>
      </c>
      <c r="D8" s="65">
        <v>17.073</v>
      </c>
      <c r="E8" s="65">
        <v>107.667</v>
      </c>
      <c r="F8" s="65">
        <v>1.796</v>
      </c>
      <c r="G8" s="65">
        <v>106.229</v>
      </c>
      <c r="H8" s="65">
        <v>232.76499999999999</v>
      </c>
      <c r="I8" s="66" t="s">
        <v>86</v>
      </c>
      <c r="J8" s="236">
        <v>2021</v>
      </c>
    </row>
    <row r="9" spans="1:10" ht="18" customHeight="1" x14ac:dyDescent="0.35">
      <c r="B9" s="234"/>
      <c r="C9" s="64" t="s">
        <v>71</v>
      </c>
      <c r="D9" s="65">
        <v>10.629</v>
      </c>
      <c r="E9" s="65">
        <v>65.736999999999995</v>
      </c>
      <c r="F9" s="65">
        <v>0.60399999999999998</v>
      </c>
      <c r="G9" s="65">
        <v>48.061999999999998</v>
      </c>
      <c r="H9" s="65">
        <v>125.032</v>
      </c>
      <c r="I9" s="66" t="s">
        <v>87</v>
      </c>
      <c r="J9" s="237"/>
    </row>
    <row r="10" spans="1:10" ht="18" customHeight="1" x14ac:dyDescent="0.35">
      <c r="B10" s="234"/>
      <c r="C10" s="64" t="s">
        <v>72</v>
      </c>
      <c r="D10" s="65">
        <v>46.280999999999999</v>
      </c>
      <c r="E10" s="65">
        <v>53.167000000000002</v>
      </c>
      <c r="F10" s="65">
        <v>0.437</v>
      </c>
      <c r="G10" s="65">
        <v>48.408999999999999</v>
      </c>
      <c r="H10" s="65">
        <v>148.29400000000001</v>
      </c>
      <c r="I10" s="66" t="s">
        <v>88</v>
      </c>
      <c r="J10" s="237"/>
    </row>
    <row r="11" spans="1:10" ht="18" customHeight="1" x14ac:dyDescent="0.35">
      <c r="B11" s="234"/>
      <c r="C11" s="64" t="s">
        <v>73</v>
      </c>
      <c r="D11" s="65">
        <v>37.19</v>
      </c>
      <c r="E11" s="65">
        <v>78.694999999999993</v>
      </c>
      <c r="F11" s="65">
        <v>3.1219999999999999</v>
      </c>
      <c r="G11" s="65">
        <v>57.024999999999999</v>
      </c>
      <c r="H11" s="65">
        <v>176.03100000000001</v>
      </c>
      <c r="I11" s="66" t="s">
        <v>89</v>
      </c>
      <c r="J11" s="237"/>
    </row>
    <row r="12" spans="1:10" ht="18" customHeight="1" x14ac:dyDescent="0.35">
      <c r="B12" s="234"/>
      <c r="C12" s="64" t="s">
        <v>74</v>
      </c>
      <c r="D12" s="65">
        <v>37.848999999999997</v>
      </c>
      <c r="E12" s="65">
        <v>76.578999999999994</v>
      </c>
      <c r="F12" s="65">
        <v>7.6509999999999998</v>
      </c>
      <c r="G12" s="65">
        <v>62.765999999999998</v>
      </c>
      <c r="H12" s="65">
        <v>184.845</v>
      </c>
      <c r="I12" s="66" t="s">
        <v>90</v>
      </c>
      <c r="J12" s="237"/>
    </row>
    <row r="13" spans="1:10" ht="18" customHeight="1" x14ac:dyDescent="0.35">
      <c r="B13" s="234"/>
      <c r="C13" s="64" t="s">
        <v>75</v>
      </c>
      <c r="D13" s="65">
        <v>43.375999999999998</v>
      </c>
      <c r="E13" s="65">
        <v>86.037999999999997</v>
      </c>
      <c r="F13" s="65">
        <v>1.016</v>
      </c>
      <c r="G13" s="65">
        <v>45.000999999999998</v>
      </c>
      <c r="H13" s="65">
        <v>175.43100000000001</v>
      </c>
      <c r="I13" s="66" t="s">
        <v>91</v>
      </c>
      <c r="J13" s="237"/>
    </row>
    <row r="14" spans="1:10" ht="18" customHeight="1" x14ac:dyDescent="0.35">
      <c r="B14" s="234"/>
      <c r="C14" s="64" t="s">
        <v>76</v>
      </c>
      <c r="D14" s="65">
        <v>65.403999999999996</v>
      </c>
      <c r="E14" s="65">
        <v>94.745999999999995</v>
      </c>
      <c r="F14" s="65">
        <v>1.462</v>
      </c>
      <c r="G14" s="65">
        <v>69.683999999999997</v>
      </c>
      <c r="H14" s="65">
        <v>231.29499999999999</v>
      </c>
      <c r="I14" s="66" t="s">
        <v>92</v>
      </c>
      <c r="J14" s="237"/>
    </row>
    <row r="15" spans="1:10" ht="18" customHeight="1" x14ac:dyDescent="0.35">
      <c r="B15" s="234"/>
      <c r="C15" s="64" t="s">
        <v>77</v>
      </c>
      <c r="D15" s="65">
        <v>57.283000000000001</v>
      </c>
      <c r="E15" s="65">
        <v>102.134</v>
      </c>
      <c r="F15" s="65">
        <v>1.49</v>
      </c>
      <c r="G15" s="65">
        <v>96.457999999999998</v>
      </c>
      <c r="H15" s="65">
        <v>257.36399999999998</v>
      </c>
      <c r="I15" s="66" t="s">
        <v>93</v>
      </c>
      <c r="J15" s="237"/>
    </row>
    <row r="16" spans="1:10" ht="18" customHeight="1" x14ac:dyDescent="0.35">
      <c r="B16" s="234"/>
      <c r="C16" s="64" t="s">
        <v>78</v>
      </c>
      <c r="D16" s="65">
        <v>49.170999999999999</v>
      </c>
      <c r="E16" s="65">
        <v>130.53100000000001</v>
      </c>
      <c r="F16" s="65">
        <v>1.7230000000000001</v>
      </c>
      <c r="G16" s="65">
        <v>126.739</v>
      </c>
      <c r="H16" s="65">
        <v>308.16300000000001</v>
      </c>
      <c r="I16" s="66" t="s">
        <v>94</v>
      </c>
      <c r="J16" s="237"/>
    </row>
    <row r="17" spans="2:10" ht="18" customHeight="1" x14ac:dyDescent="0.35">
      <c r="B17" s="234"/>
      <c r="C17" s="64" t="s">
        <v>79</v>
      </c>
      <c r="D17" s="65">
        <v>66.989000000000004</v>
      </c>
      <c r="E17" s="65">
        <v>195.172</v>
      </c>
      <c r="F17" s="65">
        <v>4.0860000000000003</v>
      </c>
      <c r="G17" s="65">
        <v>186.73699999999999</v>
      </c>
      <c r="H17" s="65">
        <v>452.98500000000001</v>
      </c>
      <c r="I17" s="66" t="s">
        <v>95</v>
      </c>
      <c r="J17" s="237"/>
    </row>
    <row r="18" spans="2:10" ht="18" customHeight="1" x14ac:dyDescent="0.35">
      <c r="B18" s="234"/>
      <c r="C18" s="64" t="s">
        <v>80</v>
      </c>
      <c r="D18" s="65">
        <v>58.061999999999998</v>
      </c>
      <c r="E18" s="65">
        <v>243.476</v>
      </c>
      <c r="F18" s="65">
        <v>4.6900000000000004</v>
      </c>
      <c r="G18" s="65">
        <v>187.36500000000001</v>
      </c>
      <c r="H18" s="65">
        <v>493.59300000000002</v>
      </c>
      <c r="I18" s="66" t="s">
        <v>96</v>
      </c>
      <c r="J18" s="237"/>
    </row>
    <row r="19" spans="2:10" ht="18" customHeight="1" x14ac:dyDescent="0.35">
      <c r="B19" s="235"/>
      <c r="C19" s="96" t="s">
        <v>81</v>
      </c>
      <c r="D19" s="65">
        <v>110.55200000000001</v>
      </c>
      <c r="E19" s="65">
        <v>297.98</v>
      </c>
      <c r="F19" s="65">
        <v>5.2530000000000001</v>
      </c>
      <c r="G19" s="65">
        <v>277.63299999999998</v>
      </c>
      <c r="H19" s="65">
        <v>691.41800000000001</v>
      </c>
      <c r="I19" s="97" t="s">
        <v>97</v>
      </c>
      <c r="J19" s="238"/>
    </row>
    <row r="20" spans="2:10" ht="18" customHeight="1" x14ac:dyDescent="0.35">
      <c r="B20" s="282" t="s">
        <v>85</v>
      </c>
      <c r="C20" s="283"/>
      <c r="D20" s="69">
        <v>599.85799999999995</v>
      </c>
      <c r="E20" s="69">
        <v>1531.921</v>
      </c>
      <c r="F20" s="69">
        <v>33.33</v>
      </c>
      <c r="G20" s="69">
        <v>1312.1079999999999</v>
      </c>
      <c r="H20" s="69">
        <v>3477.2159999999999</v>
      </c>
      <c r="I20" s="284" t="s">
        <v>98</v>
      </c>
      <c r="J20" s="285"/>
    </row>
    <row r="21" spans="2:10" x14ac:dyDescent="0.35">
      <c r="B21" s="233">
        <v>2022</v>
      </c>
      <c r="C21" s="64" t="s">
        <v>70</v>
      </c>
      <c r="D21" s="65">
        <v>136.761</v>
      </c>
      <c r="E21" s="65">
        <v>276.78899999999999</v>
      </c>
      <c r="F21" s="65">
        <v>5.1539999999999999</v>
      </c>
      <c r="G21" s="65">
        <v>130.232</v>
      </c>
      <c r="H21" s="65">
        <v>548.93600000000004</v>
      </c>
      <c r="I21" s="66" t="s">
        <v>86</v>
      </c>
      <c r="J21" s="236">
        <v>2022</v>
      </c>
    </row>
    <row r="22" spans="2:10" x14ac:dyDescent="0.35">
      <c r="B22" s="234"/>
      <c r="C22" s="64" t="s">
        <v>71</v>
      </c>
      <c r="D22" s="65">
        <v>200.32400000000001</v>
      </c>
      <c r="E22" s="65">
        <v>295.14600000000002</v>
      </c>
      <c r="F22" s="65">
        <v>21.123999999999999</v>
      </c>
      <c r="G22" s="65">
        <v>172.44499999999999</v>
      </c>
      <c r="H22" s="65">
        <v>689.04</v>
      </c>
      <c r="I22" s="66" t="s">
        <v>87</v>
      </c>
      <c r="J22" s="237"/>
    </row>
    <row r="23" spans="2:10" x14ac:dyDescent="0.35">
      <c r="B23" s="234"/>
      <c r="C23" s="64" t="s">
        <v>72</v>
      </c>
      <c r="D23" s="65">
        <v>301.46300000000002</v>
      </c>
      <c r="E23" s="65">
        <v>533.029</v>
      </c>
      <c r="F23" s="65">
        <v>42.082999999999998</v>
      </c>
      <c r="G23" s="65">
        <v>340.53800000000001</v>
      </c>
      <c r="H23" s="65">
        <v>1217.114</v>
      </c>
      <c r="I23" s="66" t="s">
        <v>88</v>
      </c>
      <c r="J23" s="237"/>
    </row>
    <row r="24" spans="2:10" x14ac:dyDescent="0.35">
      <c r="B24" s="234"/>
      <c r="C24" s="64" t="s">
        <v>73</v>
      </c>
      <c r="D24" s="65">
        <v>557.303</v>
      </c>
      <c r="E24" s="65">
        <v>711.46699999999998</v>
      </c>
      <c r="F24" s="65">
        <v>54.886000000000003</v>
      </c>
      <c r="G24" s="65">
        <v>288.83199999999999</v>
      </c>
      <c r="H24" s="65">
        <v>1612.4870000000001</v>
      </c>
      <c r="I24" s="66" t="s">
        <v>89</v>
      </c>
      <c r="J24" s="237"/>
    </row>
    <row r="25" spans="2:10" x14ac:dyDescent="0.35">
      <c r="B25" s="234"/>
      <c r="C25" s="64" t="s">
        <v>74</v>
      </c>
      <c r="D25" s="65">
        <v>337.548</v>
      </c>
      <c r="E25" s="65">
        <v>408.55500000000001</v>
      </c>
      <c r="F25" s="65">
        <v>36.262999999999998</v>
      </c>
      <c r="G25" s="65">
        <v>322.00400000000002</v>
      </c>
      <c r="H25" s="65">
        <v>1104.3710000000001</v>
      </c>
      <c r="I25" s="66" t="s">
        <v>90</v>
      </c>
      <c r="J25" s="237"/>
    </row>
    <row r="26" spans="2:10" x14ac:dyDescent="0.35">
      <c r="B26" s="234"/>
      <c r="C26" s="64" t="s">
        <v>75</v>
      </c>
      <c r="D26" s="65">
        <v>90.48</v>
      </c>
      <c r="E26" s="65">
        <v>274.779</v>
      </c>
      <c r="F26" s="65">
        <v>28.155000000000001</v>
      </c>
      <c r="G26" s="65">
        <v>473.803</v>
      </c>
      <c r="H26" s="65">
        <v>867.21600000000001</v>
      </c>
      <c r="I26" s="66" t="s">
        <v>91</v>
      </c>
      <c r="J26" s="237"/>
    </row>
    <row r="27" spans="2:10" x14ac:dyDescent="0.35">
      <c r="B27" s="234"/>
      <c r="C27" s="64" t="s">
        <v>76</v>
      </c>
      <c r="D27" s="65">
        <v>281.28699999999998</v>
      </c>
      <c r="E27" s="65">
        <v>659.74699999999996</v>
      </c>
      <c r="F27" s="65">
        <v>338.36399999999998</v>
      </c>
      <c r="G27" s="65">
        <v>486.22800000000001</v>
      </c>
      <c r="H27" s="65">
        <v>1765.626</v>
      </c>
      <c r="I27" s="66" t="s">
        <v>92</v>
      </c>
      <c r="J27" s="237"/>
    </row>
    <row r="28" spans="2:10" x14ac:dyDescent="0.35">
      <c r="B28" s="234"/>
      <c r="C28" s="64" t="s">
        <v>77</v>
      </c>
      <c r="D28" s="65">
        <v>267.96499999999997</v>
      </c>
      <c r="E28" s="65">
        <v>401.49099999999999</v>
      </c>
      <c r="F28" s="65">
        <v>182.755</v>
      </c>
      <c r="G28" s="65">
        <v>458.36099999999999</v>
      </c>
      <c r="H28" s="65">
        <v>1310.5730000000001</v>
      </c>
      <c r="I28" s="66" t="s">
        <v>93</v>
      </c>
      <c r="J28" s="237"/>
    </row>
    <row r="29" spans="2:10" x14ac:dyDescent="0.35">
      <c r="B29" s="234"/>
      <c r="C29" s="64" t="s">
        <v>78</v>
      </c>
      <c r="D29" s="65">
        <v>508.70800000000003</v>
      </c>
      <c r="E29" s="65">
        <v>498.04300000000001</v>
      </c>
      <c r="F29" s="65">
        <v>32.128999999999998</v>
      </c>
      <c r="G29" s="65">
        <v>500.09699999999998</v>
      </c>
      <c r="H29" s="65">
        <v>1538.9770000000001</v>
      </c>
      <c r="I29" s="66" t="s">
        <v>94</v>
      </c>
      <c r="J29" s="237"/>
    </row>
    <row r="30" spans="2:10" x14ac:dyDescent="0.35">
      <c r="B30" s="234"/>
      <c r="C30" s="64" t="s">
        <v>79</v>
      </c>
      <c r="D30" s="65">
        <v>569.89499999999998</v>
      </c>
      <c r="E30" s="65">
        <v>653.77</v>
      </c>
      <c r="F30" s="65">
        <v>22.751000000000001</v>
      </c>
      <c r="G30" s="65">
        <v>506.358</v>
      </c>
      <c r="H30" s="65">
        <v>1752.7739999999999</v>
      </c>
      <c r="I30" s="66" t="s">
        <v>95</v>
      </c>
      <c r="J30" s="237"/>
    </row>
    <row r="31" spans="2:10" x14ac:dyDescent="0.35">
      <c r="B31" s="234"/>
      <c r="C31" s="64" t="s">
        <v>80</v>
      </c>
      <c r="D31" s="65">
        <v>652.21100000000001</v>
      </c>
      <c r="E31" s="65">
        <v>739.05</v>
      </c>
      <c r="F31" s="65">
        <v>31.106000000000002</v>
      </c>
      <c r="G31" s="65">
        <v>417.65300000000002</v>
      </c>
      <c r="H31" s="65">
        <v>1840.021</v>
      </c>
      <c r="I31" s="66" t="s">
        <v>96</v>
      </c>
      <c r="J31" s="237"/>
    </row>
    <row r="32" spans="2:10" x14ac:dyDescent="0.35">
      <c r="B32" s="235"/>
      <c r="C32" s="96" t="s">
        <v>81</v>
      </c>
      <c r="D32" s="65">
        <v>767.33500000000004</v>
      </c>
      <c r="E32" s="65">
        <v>833.60900000000004</v>
      </c>
      <c r="F32" s="65">
        <v>63.033999999999999</v>
      </c>
      <c r="G32" s="65">
        <v>726.74800000000005</v>
      </c>
      <c r="H32" s="65">
        <v>2390.7260000000001</v>
      </c>
      <c r="I32" s="97" t="s">
        <v>97</v>
      </c>
      <c r="J32" s="238"/>
    </row>
    <row r="33" spans="2:10" x14ac:dyDescent="0.35">
      <c r="B33" s="282" t="s">
        <v>85</v>
      </c>
      <c r="C33" s="283"/>
      <c r="D33" s="69">
        <v>4671.28</v>
      </c>
      <c r="E33" s="69">
        <v>6285.4750000000004</v>
      </c>
      <c r="F33" s="69">
        <v>857.80499999999995</v>
      </c>
      <c r="G33" s="69">
        <v>4823.3010000000004</v>
      </c>
      <c r="H33" s="69">
        <v>16637.861000000001</v>
      </c>
      <c r="I33" s="284" t="s">
        <v>98</v>
      </c>
      <c r="J33" s="285"/>
    </row>
    <row r="34" spans="2:10" x14ac:dyDescent="0.35">
      <c r="B34" s="233">
        <v>2023</v>
      </c>
      <c r="C34" s="64" t="s">
        <v>70</v>
      </c>
      <c r="D34" s="65">
        <v>573.58500000000004</v>
      </c>
      <c r="E34" s="65">
        <v>1308.114</v>
      </c>
      <c r="F34" s="65">
        <v>34.572000000000003</v>
      </c>
      <c r="G34" s="65">
        <v>565.59799999999996</v>
      </c>
      <c r="H34" s="65">
        <v>2481.8690000000001</v>
      </c>
      <c r="I34" s="66" t="s">
        <v>86</v>
      </c>
      <c r="J34" s="236">
        <v>2023</v>
      </c>
    </row>
    <row r="35" spans="2:10" x14ac:dyDescent="0.35">
      <c r="B35" s="234"/>
      <c r="C35" s="64" t="s">
        <v>71</v>
      </c>
      <c r="D35" s="65">
        <v>480.90600000000001</v>
      </c>
      <c r="E35" s="65">
        <v>1406.5150000000001</v>
      </c>
      <c r="F35" s="65">
        <v>19.058</v>
      </c>
      <c r="G35" s="65">
        <v>549.298</v>
      </c>
      <c r="H35" s="65">
        <v>2455.777</v>
      </c>
      <c r="I35" s="66" t="s">
        <v>87</v>
      </c>
      <c r="J35" s="237"/>
    </row>
    <row r="36" spans="2:10" x14ac:dyDescent="0.35">
      <c r="B36" s="234"/>
      <c r="C36" s="64" t="s">
        <v>72</v>
      </c>
      <c r="D36" s="65">
        <v>955.92100000000005</v>
      </c>
      <c r="E36" s="65">
        <v>1372.21</v>
      </c>
      <c r="F36" s="65">
        <v>35.148000000000003</v>
      </c>
      <c r="G36" s="65">
        <v>506.26799999999997</v>
      </c>
      <c r="H36" s="65">
        <v>2869.547</v>
      </c>
      <c r="I36" s="66" t="s">
        <v>88</v>
      </c>
      <c r="J36" s="237"/>
    </row>
    <row r="37" spans="2:10" x14ac:dyDescent="0.35">
      <c r="B37" s="234"/>
      <c r="C37" s="64" t="s">
        <v>73</v>
      </c>
      <c r="D37" s="65">
        <v>536.351</v>
      </c>
      <c r="E37" s="65">
        <v>1116.8779999999999</v>
      </c>
      <c r="F37" s="65">
        <v>60.31</v>
      </c>
      <c r="G37" s="65">
        <v>710.60199999999998</v>
      </c>
      <c r="H37" s="65">
        <v>2424.1410000000001</v>
      </c>
      <c r="I37" s="66" t="s">
        <v>89</v>
      </c>
      <c r="J37" s="237"/>
    </row>
    <row r="38" spans="2:10" x14ac:dyDescent="0.35">
      <c r="B38" s="234"/>
      <c r="C38" s="64" t="s">
        <v>74</v>
      </c>
      <c r="D38" s="65">
        <v>355.76499999999999</v>
      </c>
      <c r="E38" s="65">
        <v>637.11500000000001</v>
      </c>
      <c r="F38" s="65">
        <v>38.948</v>
      </c>
      <c r="G38" s="65">
        <v>482.572</v>
      </c>
      <c r="H38" s="65">
        <v>1514.4</v>
      </c>
      <c r="I38" s="66" t="s">
        <v>90</v>
      </c>
      <c r="J38" s="237"/>
    </row>
    <row r="39" spans="2:10" x14ac:dyDescent="0.35">
      <c r="B39" s="234"/>
      <c r="C39" s="64" t="s">
        <v>75</v>
      </c>
      <c r="D39" s="65">
        <v>235.321</v>
      </c>
      <c r="E39" s="65">
        <v>1759.846</v>
      </c>
      <c r="F39" s="65">
        <v>381.988</v>
      </c>
      <c r="G39" s="65">
        <v>470.34</v>
      </c>
      <c r="H39" s="65">
        <v>2847.4949999999999</v>
      </c>
      <c r="I39" s="66" t="s">
        <v>91</v>
      </c>
      <c r="J39" s="237"/>
    </row>
    <row r="40" spans="2:10" x14ac:dyDescent="0.35">
      <c r="B40" s="234"/>
      <c r="C40" s="64" t="s">
        <v>76</v>
      </c>
      <c r="D40" s="65">
        <v>177.73599999999999</v>
      </c>
      <c r="E40" s="65">
        <v>747.21</v>
      </c>
      <c r="F40" s="65">
        <v>38.250999999999998</v>
      </c>
      <c r="G40" s="65">
        <v>386.57299999999998</v>
      </c>
      <c r="H40" s="65">
        <v>1349.77</v>
      </c>
      <c r="I40" s="66" t="s">
        <v>92</v>
      </c>
      <c r="J40" s="237"/>
    </row>
    <row r="41" spans="2:10" x14ac:dyDescent="0.35">
      <c r="B41" s="234"/>
      <c r="C41" s="64" t="s">
        <v>77</v>
      </c>
      <c r="D41" s="65">
        <v>389.56099999999998</v>
      </c>
      <c r="E41" s="65">
        <v>1260.0820000000001</v>
      </c>
      <c r="F41" s="65">
        <v>28.315000000000001</v>
      </c>
      <c r="G41" s="65">
        <v>431.27499999999998</v>
      </c>
      <c r="H41" s="65">
        <v>2109.2330000000002</v>
      </c>
      <c r="I41" s="66" t="s">
        <v>93</v>
      </c>
      <c r="J41" s="237"/>
    </row>
    <row r="42" spans="2:10" x14ac:dyDescent="0.35">
      <c r="B42" s="234"/>
      <c r="C42" s="64" t="s">
        <v>78</v>
      </c>
      <c r="D42" s="65">
        <v>501.50799999999998</v>
      </c>
      <c r="E42" s="65">
        <v>1119.6769999999999</v>
      </c>
      <c r="F42" s="65">
        <v>43.402000000000001</v>
      </c>
      <c r="G42" s="65">
        <v>375.33100000000002</v>
      </c>
      <c r="H42" s="65">
        <v>2039.9179999999999</v>
      </c>
      <c r="I42" s="66" t="s">
        <v>94</v>
      </c>
      <c r="J42" s="237"/>
    </row>
    <row r="43" spans="2:10" x14ac:dyDescent="0.35">
      <c r="B43" s="234"/>
      <c r="C43" s="64" t="s">
        <v>79</v>
      </c>
      <c r="D43" s="65">
        <v>448.75599999999997</v>
      </c>
      <c r="E43" s="65">
        <v>1371.8610000000001</v>
      </c>
      <c r="F43" s="65">
        <v>31.8</v>
      </c>
      <c r="G43" s="65">
        <v>338.62200000000001</v>
      </c>
      <c r="H43" s="65">
        <v>2191.0390000000002</v>
      </c>
      <c r="I43" s="66" t="s">
        <v>95</v>
      </c>
      <c r="J43" s="237"/>
    </row>
    <row r="44" spans="2:10" x14ac:dyDescent="0.35">
      <c r="B44" s="234"/>
      <c r="C44" s="64" t="s">
        <v>80</v>
      </c>
      <c r="D44" s="65">
        <v>312.96800000000002</v>
      </c>
      <c r="E44" s="65">
        <v>1568.269</v>
      </c>
      <c r="F44" s="65">
        <v>47.072000000000003</v>
      </c>
      <c r="G44" s="65">
        <v>309.24900000000002</v>
      </c>
      <c r="H44" s="65">
        <v>2237.558</v>
      </c>
      <c r="I44" s="66" t="s">
        <v>96</v>
      </c>
      <c r="J44" s="237"/>
    </row>
    <row r="45" spans="2:10" x14ac:dyDescent="0.35">
      <c r="B45" s="235"/>
      <c r="C45" s="96" t="s">
        <v>81</v>
      </c>
      <c r="D45" s="65">
        <v>343.83199999999999</v>
      </c>
      <c r="E45" s="65">
        <v>1996.2180000000001</v>
      </c>
      <c r="F45" s="65">
        <v>29.623999999999999</v>
      </c>
      <c r="G45" s="65">
        <v>533.11500000000001</v>
      </c>
      <c r="H45" s="65">
        <v>2902.7890000000002</v>
      </c>
      <c r="I45" s="97" t="s">
        <v>97</v>
      </c>
      <c r="J45" s="238"/>
    </row>
    <row r="46" spans="2:10" x14ac:dyDescent="0.35">
      <c r="B46" s="282" t="s">
        <v>85</v>
      </c>
      <c r="C46" s="283"/>
      <c r="D46" s="69">
        <v>5312.21</v>
      </c>
      <c r="E46" s="69">
        <v>15663.995000000001</v>
      </c>
      <c r="F46" s="69">
        <v>788.48800000000006</v>
      </c>
      <c r="G46" s="69">
        <v>5658.8429999999998</v>
      </c>
      <c r="H46" s="69">
        <v>27423.536</v>
      </c>
      <c r="I46" s="284" t="s">
        <v>98</v>
      </c>
      <c r="J46" s="285"/>
    </row>
    <row r="47" spans="2:10" x14ac:dyDescent="0.35">
      <c r="B47" s="233">
        <v>2024</v>
      </c>
      <c r="C47" s="64" t="s">
        <v>70</v>
      </c>
      <c r="D47" s="65">
        <v>465.97699999999998</v>
      </c>
      <c r="E47" s="65">
        <v>1799.6690000000001</v>
      </c>
      <c r="F47" s="65">
        <v>267.32400000000001</v>
      </c>
      <c r="G47" s="65">
        <v>601.78300000000002</v>
      </c>
      <c r="H47" s="65">
        <v>3134.7530000000002</v>
      </c>
      <c r="I47" s="66" t="s">
        <v>86</v>
      </c>
      <c r="J47" s="236">
        <v>2024</v>
      </c>
    </row>
    <row r="48" spans="2:10" x14ac:dyDescent="0.35">
      <c r="B48" s="234"/>
      <c r="C48" s="64" t="s">
        <v>71</v>
      </c>
      <c r="D48" s="65">
        <v>559.94100000000003</v>
      </c>
      <c r="E48" s="65">
        <v>2035.944</v>
      </c>
      <c r="F48" s="65">
        <v>59.305999999999997</v>
      </c>
      <c r="G48" s="65">
        <v>455.99400000000003</v>
      </c>
      <c r="H48" s="65">
        <v>3111.1849999999999</v>
      </c>
      <c r="I48" s="66" t="s">
        <v>87</v>
      </c>
      <c r="J48" s="237"/>
    </row>
    <row r="49" spans="2:10" x14ac:dyDescent="0.35">
      <c r="B49" s="234"/>
      <c r="C49" s="64" t="s">
        <v>72</v>
      </c>
      <c r="D49" s="65">
        <v>776.81799999999998</v>
      </c>
      <c r="E49" s="65">
        <v>1802.3</v>
      </c>
      <c r="F49" s="65">
        <v>42.994999999999997</v>
      </c>
      <c r="G49" s="65">
        <v>538.85400000000004</v>
      </c>
      <c r="H49" s="65">
        <v>3160.9670000000001</v>
      </c>
      <c r="I49" s="66" t="s">
        <v>88</v>
      </c>
      <c r="J49" s="237"/>
    </row>
    <row r="50" spans="2:10" x14ac:dyDescent="0.35">
      <c r="B50" s="234"/>
      <c r="C50" s="64" t="s">
        <v>73</v>
      </c>
      <c r="D50" s="65">
        <v>645.85400000000004</v>
      </c>
      <c r="E50" s="65">
        <v>960.51400000000001</v>
      </c>
      <c r="F50" s="65">
        <v>30.751999999999999</v>
      </c>
      <c r="G50" s="65">
        <v>419.17500000000001</v>
      </c>
      <c r="H50" s="65">
        <v>2056.2950000000001</v>
      </c>
      <c r="I50" s="66" t="s">
        <v>89</v>
      </c>
      <c r="J50" s="237"/>
    </row>
    <row r="51" spans="2:10" x14ac:dyDescent="0.35">
      <c r="B51" s="234"/>
      <c r="C51" s="64" t="s">
        <v>74</v>
      </c>
      <c r="D51" s="65">
        <v>343.14100000000002</v>
      </c>
      <c r="E51" s="65">
        <v>571.38599999999997</v>
      </c>
      <c r="F51" s="65">
        <v>14.993</v>
      </c>
      <c r="G51" s="65">
        <v>574.51800000000003</v>
      </c>
      <c r="H51" s="65">
        <v>1504.038</v>
      </c>
      <c r="I51" s="66" t="s">
        <v>90</v>
      </c>
      <c r="J51" s="237"/>
    </row>
    <row r="52" spans="2:10" x14ac:dyDescent="0.35">
      <c r="B52" s="234"/>
      <c r="C52" s="64" t="s">
        <v>75</v>
      </c>
      <c r="D52" s="65">
        <v>533.13800000000003</v>
      </c>
      <c r="E52" s="65">
        <v>1469.2919999999999</v>
      </c>
      <c r="F52" s="65">
        <v>389.61200000000002</v>
      </c>
      <c r="G52" s="65">
        <v>397.49799999999999</v>
      </c>
      <c r="H52" s="65">
        <v>2789.54</v>
      </c>
      <c r="I52" s="66" t="s">
        <v>91</v>
      </c>
      <c r="J52" s="237"/>
    </row>
    <row r="53" spans="2:10" x14ac:dyDescent="0.35">
      <c r="B53" s="234"/>
      <c r="C53" s="64" t="s">
        <v>76</v>
      </c>
      <c r="D53" s="65">
        <v>400.029</v>
      </c>
      <c r="E53" s="65">
        <v>912.95399999999995</v>
      </c>
      <c r="F53" s="65">
        <v>61.814999999999998</v>
      </c>
      <c r="G53" s="65">
        <v>380.94</v>
      </c>
      <c r="H53" s="65">
        <v>1755.7380000000001</v>
      </c>
      <c r="I53" s="66" t="s">
        <v>92</v>
      </c>
      <c r="J53" s="237"/>
    </row>
    <row r="54" spans="2:10" x14ac:dyDescent="0.35">
      <c r="B54" s="234"/>
      <c r="C54" s="64" t="s">
        <v>77</v>
      </c>
      <c r="D54" s="65">
        <v>446.51100000000002</v>
      </c>
      <c r="E54" s="65">
        <v>1222.9169999999999</v>
      </c>
      <c r="F54" s="65">
        <v>23.831</v>
      </c>
      <c r="G54" s="65">
        <v>445.15300000000002</v>
      </c>
      <c r="H54" s="65">
        <v>2138.4119999999998</v>
      </c>
      <c r="I54" s="66" t="s">
        <v>93</v>
      </c>
      <c r="J54" s="237"/>
    </row>
    <row r="55" spans="2:10" x14ac:dyDescent="0.35">
      <c r="B55" s="234"/>
      <c r="C55" s="64" t="s">
        <v>78</v>
      </c>
      <c r="D55" s="65">
        <v>391.85</v>
      </c>
      <c r="E55" s="65">
        <v>1049.5039999999999</v>
      </c>
      <c r="F55" s="65">
        <v>46.768999999999998</v>
      </c>
      <c r="G55" s="65">
        <v>483.38299999999998</v>
      </c>
      <c r="H55" s="65">
        <v>1971.5060000000001</v>
      </c>
      <c r="I55" s="66" t="s">
        <v>94</v>
      </c>
      <c r="J55" s="237"/>
    </row>
    <row r="56" spans="2:10" x14ac:dyDescent="0.35">
      <c r="B56" s="234"/>
      <c r="C56" s="64" t="s">
        <v>79</v>
      </c>
      <c r="D56" s="65">
        <v>657.01300000000003</v>
      </c>
      <c r="E56" s="65">
        <v>1372.5250000000001</v>
      </c>
      <c r="F56" s="65">
        <v>55.683999999999997</v>
      </c>
      <c r="G56" s="65">
        <v>331.375</v>
      </c>
      <c r="H56" s="65">
        <v>2416.5970000000002</v>
      </c>
      <c r="I56" s="66" t="s">
        <v>95</v>
      </c>
      <c r="J56" s="237"/>
    </row>
    <row r="57" spans="2:10" x14ac:dyDescent="0.35">
      <c r="B57" s="234"/>
      <c r="C57" s="64" t="s">
        <v>80</v>
      </c>
      <c r="D57" s="65">
        <v>503.86200000000002</v>
      </c>
      <c r="E57" s="65">
        <v>1665.8130000000001</v>
      </c>
      <c r="F57" s="65">
        <v>30.887</v>
      </c>
      <c r="G57" s="65">
        <v>341.08499999999998</v>
      </c>
      <c r="H57" s="65">
        <v>2541.6469999999999</v>
      </c>
      <c r="I57" s="66" t="s">
        <v>96</v>
      </c>
      <c r="J57" s="237"/>
    </row>
    <row r="58" spans="2:10" x14ac:dyDescent="0.35">
      <c r="B58" s="235"/>
      <c r="C58" s="96" t="s">
        <v>81</v>
      </c>
      <c r="D58" s="65">
        <v>748.14599999999996</v>
      </c>
      <c r="E58" s="65">
        <v>1965.787</v>
      </c>
      <c r="F58" s="65">
        <v>27.350999999999999</v>
      </c>
      <c r="G58" s="65">
        <v>405.48099999999999</v>
      </c>
      <c r="H58" s="65">
        <v>3146.7649999999999</v>
      </c>
      <c r="I58" s="97" t="s">
        <v>97</v>
      </c>
      <c r="J58" s="238"/>
    </row>
    <row r="59" spans="2:10" x14ac:dyDescent="0.35">
      <c r="B59" s="282" t="s">
        <v>85</v>
      </c>
      <c r="C59" s="283"/>
      <c r="D59" s="69">
        <v>6472.28</v>
      </c>
      <c r="E59" s="69">
        <v>16828.605</v>
      </c>
      <c r="F59" s="69">
        <v>1051.319</v>
      </c>
      <c r="G59" s="69">
        <v>5375.2389999999996</v>
      </c>
      <c r="H59" s="69">
        <v>29727.442999999999</v>
      </c>
      <c r="I59" s="284" t="s">
        <v>98</v>
      </c>
      <c r="J59" s="285"/>
    </row>
    <row r="60" spans="2:10" x14ac:dyDescent="0.35">
      <c r="B60" s="233">
        <v>2025</v>
      </c>
      <c r="C60" s="64" t="s">
        <v>70</v>
      </c>
      <c r="D60" s="65">
        <v>557.47799999999995</v>
      </c>
      <c r="E60" s="65">
        <v>2368.2080000000001</v>
      </c>
      <c r="F60" s="65">
        <v>76.135999999999996</v>
      </c>
      <c r="G60" s="65">
        <v>551.48199999999997</v>
      </c>
      <c r="H60" s="65">
        <v>3553.3040000000001</v>
      </c>
      <c r="I60" s="66" t="s">
        <v>86</v>
      </c>
      <c r="J60" s="236">
        <v>2025</v>
      </c>
    </row>
    <row r="61" spans="2:10" x14ac:dyDescent="0.35">
      <c r="B61" s="234"/>
      <c r="C61" s="64" t="s">
        <v>71</v>
      </c>
      <c r="D61" s="65">
        <v>379.53899999999999</v>
      </c>
      <c r="E61" s="65">
        <v>2252.25</v>
      </c>
      <c r="F61" s="65">
        <v>44.786999999999999</v>
      </c>
      <c r="G61" s="65">
        <v>468.92700000000002</v>
      </c>
      <c r="H61" s="65">
        <v>3145.5030000000002</v>
      </c>
      <c r="I61" s="66" t="s">
        <v>87</v>
      </c>
      <c r="J61" s="237"/>
    </row>
    <row r="62" spans="2:10" x14ac:dyDescent="0.35">
      <c r="B62" s="234"/>
      <c r="C62" s="64" t="s">
        <v>72</v>
      </c>
      <c r="D62" s="65">
        <v>749.601</v>
      </c>
      <c r="E62" s="65">
        <v>1707.9159999999999</v>
      </c>
      <c r="F62" s="65">
        <v>23.140999999999998</v>
      </c>
      <c r="G62" s="65">
        <v>406.71699999999998</v>
      </c>
      <c r="H62" s="65">
        <v>2887.375</v>
      </c>
      <c r="I62" s="66" t="s">
        <v>88</v>
      </c>
      <c r="J62" s="237"/>
    </row>
    <row r="63" spans="2:10" x14ac:dyDescent="0.35">
      <c r="B63" s="234"/>
      <c r="C63" s="64" t="s">
        <v>73</v>
      </c>
      <c r="D63" s="65">
        <v>324.52699999999999</v>
      </c>
      <c r="E63" s="65">
        <v>959.41</v>
      </c>
      <c r="F63" s="65">
        <v>35.82</v>
      </c>
      <c r="G63" s="65">
        <v>298.29500000000002</v>
      </c>
      <c r="H63" s="65">
        <v>1618.0519999999999</v>
      </c>
      <c r="I63" s="66" t="s">
        <v>89</v>
      </c>
      <c r="J63" s="237"/>
    </row>
    <row r="64" spans="2:10" x14ac:dyDescent="0.35">
      <c r="B64" s="234"/>
      <c r="C64" s="64" t="s">
        <v>74</v>
      </c>
      <c r="D64" s="65">
        <v>168.86</v>
      </c>
      <c r="E64" s="65">
        <v>286.48500000000001</v>
      </c>
      <c r="F64" s="65">
        <v>16.928000000000001</v>
      </c>
      <c r="G64" s="65">
        <v>267.11399999999998</v>
      </c>
      <c r="H64" s="65">
        <v>739.38699999999994</v>
      </c>
      <c r="I64" s="66" t="s">
        <v>90</v>
      </c>
      <c r="J64" s="237"/>
    </row>
    <row r="65" spans="2:10" x14ac:dyDescent="0.35">
      <c r="B65" s="234"/>
      <c r="C65" s="64" t="s">
        <v>75</v>
      </c>
      <c r="D65" s="65">
        <v>254.46799999999999</v>
      </c>
      <c r="E65" s="65">
        <v>1600.9110000000001</v>
      </c>
      <c r="F65" s="65">
        <v>232.47499999999999</v>
      </c>
      <c r="G65" s="65">
        <v>276.42500000000001</v>
      </c>
      <c r="H65" s="65">
        <v>2364.279</v>
      </c>
      <c r="I65" s="66" t="s">
        <v>91</v>
      </c>
      <c r="J65" s="237"/>
    </row>
    <row r="66" spans="2:10" x14ac:dyDescent="0.35">
      <c r="B66" s="234"/>
      <c r="C66" s="64" t="s">
        <v>76</v>
      </c>
      <c r="D66" s="65">
        <v>347.03100000000001</v>
      </c>
      <c r="E66" s="65">
        <v>1248.242</v>
      </c>
      <c r="F66" s="65">
        <v>227.614</v>
      </c>
      <c r="G66" s="65">
        <v>355.15199999999999</v>
      </c>
      <c r="H66" s="65">
        <v>2178.0390000000002</v>
      </c>
      <c r="I66" s="66" t="s">
        <v>92</v>
      </c>
      <c r="J66" s="237"/>
    </row>
    <row r="67" spans="2:10" x14ac:dyDescent="0.35">
      <c r="B67" s="234"/>
      <c r="C67" s="64" t="s">
        <v>77</v>
      </c>
      <c r="D67" s="65">
        <v>476.55900000000003</v>
      </c>
      <c r="E67" s="65">
        <v>1349.213</v>
      </c>
      <c r="F67" s="65">
        <v>40.905000000000001</v>
      </c>
      <c r="G67" s="65">
        <v>410.47800000000001</v>
      </c>
      <c r="H67" s="65">
        <v>2277.1550000000002</v>
      </c>
      <c r="I67" s="66" t="s">
        <v>93</v>
      </c>
      <c r="J67" s="237"/>
    </row>
    <row r="68" spans="2:10" x14ac:dyDescent="0.35">
      <c r="B68" s="234"/>
      <c r="C68" s="64" t="s">
        <v>78</v>
      </c>
      <c r="D68" s="65">
        <v>361.48899999999998</v>
      </c>
      <c r="E68" s="65">
        <v>1385.06</v>
      </c>
      <c r="F68" s="65">
        <v>39.954000000000001</v>
      </c>
      <c r="G68" s="65">
        <v>373.41699999999997</v>
      </c>
      <c r="H68" s="65">
        <v>2159.92</v>
      </c>
      <c r="I68" s="66" t="s">
        <v>94</v>
      </c>
      <c r="J68" s="237"/>
    </row>
    <row r="69" spans="2:10" x14ac:dyDescent="0.35">
      <c r="B69" s="234"/>
      <c r="C69" s="64" t="s">
        <v>79</v>
      </c>
      <c r="D69" s="65">
        <v>381.43200000000002</v>
      </c>
      <c r="E69" s="65">
        <v>1704.8510000000001</v>
      </c>
      <c r="F69" s="65">
        <v>67.897999999999996</v>
      </c>
      <c r="G69" s="65">
        <v>336.07600000000002</v>
      </c>
      <c r="H69" s="65">
        <v>2490.2570000000001</v>
      </c>
      <c r="I69" s="66" t="s">
        <v>95</v>
      </c>
      <c r="J69" s="237"/>
    </row>
    <row r="70" spans="2:10" x14ac:dyDescent="0.35">
      <c r="B70" s="234"/>
      <c r="C70" s="64" t="s">
        <v>80</v>
      </c>
      <c r="D70" s="65">
        <v>412.916</v>
      </c>
      <c r="E70" s="65">
        <v>1862.278</v>
      </c>
      <c r="F70" s="65">
        <v>39.167000000000002</v>
      </c>
      <c r="G70" s="65">
        <v>307.70600000000002</v>
      </c>
      <c r="H70" s="65">
        <v>2622.067</v>
      </c>
      <c r="I70" s="66" t="s">
        <v>96</v>
      </c>
      <c r="J70" s="237"/>
    </row>
    <row r="71" spans="2:10" x14ac:dyDescent="0.35">
      <c r="B71" s="235"/>
      <c r="C71" s="96" t="s">
        <v>81</v>
      </c>
      <c r="D71" s="65">
        <v>472.892</v>
      </c>
      <c r="E71" s="65">
        <v>2212.77</v>
      </c>
      <c r="F71" s="65">
        <v>65.771000000000001</v>
      </c>
      <c r="G71" s="65">
        <v>468.01600000000002</v>
      </c>
      <c r="H71" s="65">
        <v>3219.4490000000001</v>
      </c>
      <c r="I71" s="97" t="s">
        <v>97</v>
      </c>
      <c r="J71" s="238"/>
    </row>
    <row r="72" spans="2:10" x14ac:dyDescent="0.35">
      <c r="B72" s="282" t="s">
        <v>85</v>
      </c>
      <c r="C72" s="283"/>
      <c r="D72" s="69">
        <v>4886.7920000000004</v>
      </c>
      <c r="E72" s="69">
        <v>18937.594000000001</v>
      </c>
      <c r="F72" s="69">
        <v>910.596</v>
      </c>
      <c r="G72" s="69">
        <v>4519.8050000000003</v>
      </c>
      <c r="H72" s="69">
        <v>29254.787</v>
      </c>
      <c r="I72" s="284" t="s">
        <v>98</v>
      </c>
      <c r="J72" s="285"/>
    </row>
  </sheetData>
  <mergeCells count="22">
    <mergeCell ref="B60:B71"/>
    <mergeCell ref="J60:J71"/>
    <mergeCell ref="B72:C72"/>
    <mergeCell ref="I72:J72"/>
    <mergeCell ref="B47:B58"/>
    <mergeCell ref="J47:J58"/>
    <mergeCell ref="B59:C59"/>
    <mergeCell ref="I59:J59"/>
    <mergeCell ref="A2:E2"/>
    <mergeCell ref="A3:E3"/>
    <mergeCell ref="B34:B45"/>
    <mergeCell ref="J34:J45"/>
    <mergeCell ref="B46:C46"/>
    <mergeCell ref="I46:J46"/>
    <mergeCell ref="B33:C33"/>
    <mergeCell ref="I33:J33"/>
    <mergeCell ref="B8:B19"/>
    <mergeCell ref="J8:J19"/>
    <mergeCell ref="B20:C20"/>
    <mergeCell ref="I20:J20"/>
    <mergeCell ref="B21:B32"/>
    <mergeCell ref="J21:J32"/>
  </mergeCells>
  <pageMargins left="0.7" right="0.7" top="0.75" bottom="0.75" header="0.3" footer="0.3"/>
  <pageSetup orientation="portrait" r:id="rId1"/>
  <headerFooter>
    <oddFooter>&amp;C&amp;1#&amp;"Calibri"&amp;11&amp;Kffa500CONFIDENTIAL▮▮مقيّد</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AA93-35E8-4680-8317-022B45FC350A}">
  <sheetPr>
    <tabColor rgb="FF00B050"/>
  </sheetPr>
  <dimension ref="A1:L71"/>
  <sheetViews>
    <sheetView showGridLines="0" zoomScale="70" zoomScaleNormal="70" zoomScaleSheetLayoutView="80" workbookViewId="0"/>
  </sheetViews>
  <sheetFormatPr defaultRowHeight="14.5" x14ac:dyDescent="0.35"/>
  <cols>
    <col min="4" max="10" width="27.1796875" customWidth="1"/>
  </cols>
  <sheetData>
    <row r="1" spans="1:12" x14ac:dyDescent="0.35">
      <c r="A1" s="9" t="s">
        <v>524</v>
      </c>
    </row>
    <row r="2" spans="1:12" x14ac:dyDescent="0.35">
      <c r="A2" s="232"/>
      <c r="B2" s="232"/>
      <c r="C2" s="232"/>
      <c r="D2" s="232"/>
      <c r="E2" s="232"/>
    </row>
    <row r="3" spans="1:12" x14ac:dyDescent="0.35">
      <c r="A3" s="232"/>
      <c r="B3" s="232"/>
      <c r="C3" s="232"/>
      <c r="D3" s="232"/>
      <c r="E3" s="232"/>
    </row>
    <row r="4" spans="1:12" ht="15.5" x14ac:dyDescent="0.35">
      <c r="A4" s="10" t="s">
        <v>459</v>
      </c>
      <c r="B4" s="30" t="s">
        <v>467</v>
      </c>
      <c r="C4" s="13"/>
      <c r="D4" s="13"/>
      <c r="E4" s="13"/>
      <c r="F4" s="13"/>
      <c r="G4" s="13"/>
      <c r="H4" s="30"/>
      <c r="I4" s="30"/>
      <c r="J4" s="30"/>
      <c r="K4" s="30"/>
      <c r="L4" s="31" t="s">
        <v>468</v>
      </c>
    </row>
    <row r="6" spans="1:12" ht="43.5" x14ac:dyDescent="0.35">
      <c r="B6" s="59"/>
      <c r="C6" s="61" t="s">
        <v>99</v>
      </c>
      <c r="D6" s="62" t="s">
        <v>469</v>
      </c>
      <c r="E6" s="62" t="s">
        <v>470</v>
      </c>
      <c r="F6" s="62" t="s">
        <v>471</v>
      </c>
      <c r="G6" s="62" t="s">
        <v>472</v>
      </c>
      <c r="H6" s="62" t="s">
        <v>473</v>
      </c>
      <c r="I6" s="201" t="s">
        <v>474</v>
      </c>
      <c r="J6" s="201" t="s">
        <v>475</v>
      </c>
      <c r="K6" s="63" t="s">
        <v>100</v>
      </c>
      <c r="L6" s="59"/>
    </row>
    <row r="7" spans="1:12" x14ac:dyDescent="0.35">
      <c r="B7" s="234">
        <v>2021</v>
      </c>
      <c r="C7" s="64" t="s">
        <v>70</v>
      </c>
      <c r="D7" s="65">
        <v>233</v>
      </c>
      <c r="E7" s="65">
        <v>25</v>
      </c>
      <c r="F7" s="65">
        <v>150</v>
      </c>
      <c r="G7" s="65">
        <v>104</v>
      </c>
      <c r="H7" s="65">
        <v>333</v>
      </c>
      <c r="I7" s="65">
        <v>103</v>
      </c>
      <c r="J7" s="65">
        <v>948</v>
      </c>
      <c r="K7" s="66" t="s">
        <v>86</v>
      </c>
      <c r="L7" s="237">
        <v>2021</v>
      </c>
    </row>
    <row r="8" spans="1:12" x14ac:dyDescent="0.35">
      <c r="B8" s="234"/>
      <c r="C8" s="64" t="s">
        <v>71</v>
      </c>
      <c r="D8" s="65">
        <v>163</v>
      </c>
      <c r="E8" s="65">
        <v>27</v>
      </c>
      <c r="F8" s="65">
        <v>96</v>
      </c>
      <c r="G8" s="65">
        <v>65</v>
      </c>
      <c r="H8" s="65">
        <v>156</v>
      </c>
      <c r="I8" s="65">
        <v>74</v>
      </c>
      <c r="J8" s="65">
        <v>582</v>
      </c>
      <c r="K8" s="66" t="s">
        <v>87</v>
      </c>
      <c r="L8" s="237"/>
    </row>
    <row r="9" spans="1:12" x14ac:dyDescent="0.35">
      <c r="B9" s="234"/>
      <c r="C9" s="64" t="s">
        <v>72</v>
      </c>
      <c r="D9" s="65">
        <v>147</v>
      </c>
      <c r="E9" s="65">
        <v>4</v>
      </c>
      <c r="F9" s="65">
        <v>93</v>
      </c>
      <c r="G9" s="65">
        <v>66</v>
      </c>
      <c r="H9" s="65">
        <v>100</v>
      </c>
      <c r="I9" s="65">
        <v>93</v>
      </c>
      <c r="J9" s="65">
        <v>503</v>
      </c>
      <c r="K9" s="66" t="s">
        <v>88</v>
      </c>
      <c r="L9" s="237"/>
    </row>
    <row r="10" spans="1:12" x14ac:dyDescent="0.35">
      <c r="B10" s="234"/>
      <c r="C10" s="64" t="s">
        <v>73</v>
      </c>
      <c r="D10" s="65">
        <v>210</v>
      </c>
      <c r="E10" s="65">
        <v>15</v>
      </c>
      <c r="F10" s="65">
        <v>113</v>
      </c>
      <c r="G10" s="65">
        <v>138</v>
      </c>
      <c r="H10" s="65">
        <v>212</v>
      </c>
      <c r="I10" s="65">
        <v>113</v>
      </c>
      <c r="J10" s="65">
        <v>801</v>
      </c>
      <c r="K10" s="66" t="s">
        <v>89</v>
      </c>
      <c r="L10" s="237"/>
    </row>
    <row r="11" spans="1:12" x14ac:dyDescent="0.35">
      <c r="B11" s="234"/>
      <c r="C11" s="64" t="s">
        <v>74</v>
      </c>
      <c r="D11" s="65">
        <v>231</v>
      </c>
      <c r="E11" s="65">
        <v>8</v>
      </c>
      <c r="F11" s="65">
        <v>127</v>
      </c>
      <c r="G11" s="65">
        <v>92</v>
      </c>
      <c r="H11" s="65">
        <v>189</v>
      </c>
      <c r="I11" s="65">
        <v>98</v>
      </c>
      <c r="J11" s="65">
        <v>745</v>
      </c>
      <c r="K11" s="66" t="s">
        <v>90</v>
      </c>
      <c r="L11" s="237"/>
    </row>
    <row r="12" spans="1:12" x14ac:dyDescent="0.35">
      <c r="B12" s="234"/>
      <c r="C12" s="64" t="s">
        <v>75</v>
      </c>
      <c r="D12" s="65">
        <v>270</v>
      </c>
      <c r="E12" s="65">
        <v>15</v>
      </c>
      <c r="F12" s="65">
        <v>131</v>
      </c>
      <c r="G12" s="65">
        <v>83</v>
      </c>
      <c r="H12" s="65">
        <v>185</v>
      </c>
      <c r="I12" s="65">
        <v>110</v>
      </c>
      <c r="J12" s="65">
        <v>794</v>
      </c>
      <c r="K12" s="66" t="s">
        <v>91</v>
      </c>
      <c r="L12" s="237"/>
    </row>
    <row r="13" spans="1:12" x14ac:dyDescent="0.35">
      <c r="B13" s="234"/>
      <c r="C13" s="64" t="s">
        <v>76</v>
      </c>
      <c r="D13" s="65">
        <v>318</v>
      </c>
      <c r="E13" s="65">
        <v>16</v>
      </c>
      <c r="F13" s="65">
        <v>169</v>
      </c>
      <c r="G13" s="65">
        <v>114</v>
      </c>
      <c r="H13" s="65">
        <v>241</v>
      </c>
      <c r="I13" s="65">
        <v>139</v>
      </c>
      <c r="J13" s="65">
        <v>996</v>
      </c>
      <c r="K13" s="66" t="s">
        <v>92</v>
      </c>
      <c r="L13" s="237"/>
    </row>
    <row r="14" spans="1:12" x14ac:dyDescent="0.35">
      <c r="B14" s="234"/>
      <c r="C14" s="64" t="s">
        <v>77</v>
      </c>
      <c r="D14" s="65">
        <v>275</v>
      </c>
      <c r="E14" s="65">
        <v>22</v>
      </c>
      <c r="F14" s="65">
        <v>155</v>
      </c>
      <c r="G14" s="65">
        <v>114</v>
      </c>
      <c r="H14" s="65">
        <v>264</v>
      </c>
      <c r="I14" s="65">
        <v>137</v>
      </c>
      <c r="J14" s="65">
        <v>966</v>
      </c>
      <c r="K14" s="66" t="s">
        <v>93</v>
      </c>
      <c r="L14" s="237"/>
    </row>
    <row r="15" spans="1:12" x14ac:dyDescent="0.35">
      <c r="B15" s="234"/>
      <c r="C15" s="64" t="s">
        <v>78</v>
      </c>
      <c r="D15" s="65">
        <v>342</v>
      </c>
      <c r="E15" s="65">
        <v>20</v>
      </c>
      <c r="F15" s="65">
        <v>186</v>
      </c>
      <c r="G15" s="65">
        <v>144</v>
      </c>
      <c r="H15" s="65">
        <v>265</v>
      </c>
      <c r="I15" s="65">
        <v>154</v>
      </c>
      <c r="J15" s="65">
        <v>1111</v>
      </c>
      <c r="K15" s="66" t="s">
        <v>94</v>
      </c>
      <c r="L15" s="237"/>
    </row>
    <row r="16" spans="1:12" x14ac:dyDescent="0.35">
      <c r="B16" s="234"/>
      <c r="C16" s="64" t="s">
        <v>79</v>
      </c>
      <c r="D16" s="65">
        <v>573</v>
      </c>
      <c r="E16" s="65">
        <v>91</v>
      </c>
      <c r="F16" s="65">
        <v>345</v>
      </c>
      <c r="G16" s="65">
        <v>219</v>
      </c>
      <c r="H16" s="65">
        <v>455</v>
      </c>
      <c r="I16" s="65">
        <v>249</v>
      </c>
      <c r="J16" s="65">
        <v>1933</v>
      </c>
      <c r="K16" s="66" t="s">
        <v>95</v>
      </c>
      <c r="L16" s="237"/>
    </row>
    <row r="17" spans="2:12" x14ac:dyDescent="0.35">
      <c r="B17" s="234"/>
      <c r="C17" s="64" t="s">
        <v>80</v>
      </c>
      <c r="D17" s="65">
        <v>640</v>
      </c>
      <c r="E17" s="65">
        <v>104</v>
      </c>
      <c r="F17" s="65">
        <v>418</v>
      </c>
      <c r="G17" s="65">
        <v>241</v>
      </c>
      <c r="H17" s="65">
        <v>482</v>
      </c>
      <c r="I17" s="65">
        <v>355</v>
      </c>
      <c r="J17" s="65">
        <v>2240</v>
      </c>
      <c r="K17" s="66" t="s">
        <v>96</v>
      </c>
      <c r="L17" s="237"/>
    </row>
    <row r="18" spans="2:12" x14ac:dyDescent="0.35">
      <c r="B18" s="235"/>
      <c r="C18" s="96" t="s">
        <v>81</v>
      </c>
      <c r="D18" s="65">
        <v>894</v>
      </c>
      <c r="E18" s="65">
        <v>201</v>
      </c>
      <c r="F18" s="65">
        <v>560</v>
      </c>
      <c r="G18" s="65">
        <v>340</v>
      </c>
      <c r="H18" s="65">
        <v>694</v>
      </c>
      <c r="I18" s="191">
        <v>408</v>
      </c>
      <c r="J18" s="191">
        <v>3097</v>
      </c>
      <c r="K18" s="97" t="s">
        <v>97</v>
      </c>
      <c r="L18" s="238"/>
    </row>
    <row r="19" spans="2:12" x14ac:dyDescent="0.35">
      <c r="B19" s="282" t="s">
        <v>85</v>
      </c>
      <c r="C19" s="283"/>
      <c r="D19" s="69">
        <f>SUM(D7:D18)</f>
        <v>4296</v>
      </c>
      <c r="E19" s="69">
        <f t="shared" ref="E19:J19" si="0">SUM(E7:E18)</f>
        <v>548</v>
      </c>
      <c r="F19" s="69">
        <f t="shared" si="0"/>
        <v>2543</v>
      </c>
      <c r="G19" s="69">
        <f t="shared" si="0"/>
        <v>1720</v>
      </c>
      <c r="H19" s="69">
        <f t="shared" si="0"/>
        <v>3576</v>
      </c>
      <c r="I19" s="69">
        <f t="shared" si="0"/>
        <v>2033</v>
      </c>
      <c r="J19" s="69">
        <f t="shared" si="0"/>
        <v>14716</v>
      </c>
      <c r="K19" s="284" t="s">
        <v>98</v>
      </c>
      <c r="L19" s="285"/>
    </row>
    <row r="20" spans="2:12" x14ac:dyDescent="0.35">
      <c r="B20" s="233">
        <v>2022</v>
      </c>
      <c r="C20" s="64" t="s">
        <v>70</v>
      </c>
      <c r="D20" s="65">
        <v>992</v>
      </c>
      <c r="E20" s="65">
        <v>154</v>
      </c>
      <c r="F20" s="65">
        <v>487</v>
      </c>
      <c r="G20" s="65">
        <v>484</v>
      </c>
      <c r="H20" s="65">
        <v>591</v>
      </c>
      <c r="I20" s="65">
        <v>440</v>
      </c>
      <c r="J20" s="65">
        <v>3147</v>
      </c>
      <c r="K20" s="66" t="s">
        <v>86</v>
      </c>
      <c r="L20" s="236">
        <v>2022</v>
      </c>
    </row>
    <row r="21" spans="2:12" x14ac:dyDescent="0.35">
      <c r="B21" s="234"/>
      <c r="C21" s="64" t="s">
        <v>71</v>
      </c>
      <c r="D21" s="65">
        <v>1558</v>
      </c>
      <c r="E21" s="65">
        <v>232</v>
      </c>
      <c r="F21" s="65">
        <v>739</v>
      </c>
      <c r="G21" s="65">
        <v>739</v>
      </c>
      <c r="H21" s="65">
        <v>784</v>
      </c>
      <c r="I21" s="65">
        <v>725</v>
      </c>
      <c r="J21" s="65">
        <v>4778</v>
      </c>
      <c r="K21" s="66" t="s">
        <v>87</v>
      </c>
      <c r="L21" s="237"/>
    </row>
    <row r="22" spans="2:12" x14ac:dyDescent="0.35">
      <c r="B22" s="234"/>
      <c r="C22" s="64" t="s">
        <v>72</v>
      </c>
      <c r="D22" s="65">
        <v>2469</v>
      </c>
      <c r="E22" s="65">
        <v>389</v>
      </c>
      <c r="F22" s="65">
        <v>1203</v>
      </c>
      <c r="G22" s="65">
        <v>1205</v>
      </c>
      <c r="H22" s="65">
        <v>1285</v>
      </c>
      <c r="I22" s="65">
        <v>1157</v>
      </c>
      <c r="J22" s="65">
        <v>7708</v>
      </c>
      <c r="K22" s="66" t="s">
        <v>88</v>
      </c>
      <c r="L22" s="237"/>
    </row>
    <row r="23" spans="2:12" x14ac:dyDescent="0.35">
      <c r="B23" s="234"/>
      <c r="C23" s="64" t="s">
        <v>73</v>
      </c>
      <c r="D23" s="65">
        <v>3796</v>
      </c>
      <c r="E23" s="65">
        <v>358</v>
      </c>
      <c r="F23" s="65">
        <v>1796</v>
      </c>
      <c r="G23" s="65">
        <v>2044</v>
      </c>
      <c r="H23" s="65">
        <v>2433</v>
      </c>
      <c r="I23" s="65">
        <v>1787</v>
      </c>
      <c r="J23" s="65">
        <v>12214</v>
      </c>
      <c r="K23" s="66" t="s">
        <v>89</v>
      </c>
      <c r="L23" s="237"/>
    </row>
    <row r="24" spans="2:12" x14ac:dyDescent="0.35">
      <c r="B24" s="234"/>
      <c r="C24" s="64" t="s">
        <v>74</v>
      </c>
      <c r="D24" s="65">
        <v>1608</v>
      </c>
      <c r="E24" s="65">
        <v>210</v>
      </c>
      <c r="F24" s="65">
        <v>995</v>
      </c>
      <c r="G24" s="65">
        <v>929</v>
      </c>
      <c r="H24" s="65">
        <v>1323</v>
      </c>
      <c r="I24" s="65">
        <v>788</v>
      </c>
      <c r="J24" s="65">
        <v>5853</v>
      </c>
      <c r="K24" s="66" t="s">
        <v>90</v>
      </c>
      <c r="L24" s="237"/>
    </row>
    <row r="25" spans="2:12" x14ac:dyDescent="0.35">
      <c r="B25" s="234"/>
      <c r="C25" s="64" t="s">
        <v>75</v>
      </c>
      <c r="D25" s="65">
        <v>765</v>
      </c>
      <c r="E25" s="65">
        <v>160</v>
      </c>
      <c r="F25" s="65">
        <v>758</v>
      </c>
      <c r="G25" s="65">
        <v>580</v>
      </c>
      <c r="H25" s="65">
        <v>1047</v>
      </c>
      <c r="I25" s="65">
        <v>407</v>
      </c>
      <c r="J25" s="65">
        <v>3718</v>
      </c>
      <c r="K25" s="66" t="s">
        <v>91</v>
      </c>
      <c r="L25" s="237"/>
    </row>
    <row r="26" spans="2:12" x14ac:dyDescent="0.35">
      <c r="B26" s="234"/>
      <c r="C26" s="64" t="s">
        <v>76</v>
      </c>
      <c r="D26" s="65">
        <v>6209</v>
      </c>
      <c r="E26" s="65">
        <v>191</v>
      </c>
      <c r="F26" s="65">
        <v>1590</v>
      </c>
      <c r="G26" s="65">
        <v>1245</v>
      </c>
      <c r="H26" s="65">
        <v>2755</v>
      </c>
      <c r="I26" s="65">
        <v>3817</v>
      </c>
      <c r="J26" s="65">
        <v>15806</v>
      </c>
      <c r="K26" s="66" t="s">
        <v>92</v>
      </c>
      <c r="L26" s="237"/>
    </row>
    <row r="27" spans="2:12" x14ac:dyDescent="0.35">
      <c r="B27" s="234"/>
      <c r="C27" s="64" t="s">
        <v>77</v>
      </c>
      <c r="D27" s="65">
        <v>1528</v>
      </c>
      <c r="E27" s="65">
        <v>165</v>
      </c>
      <c r="F27" s="65">
        <v>2175</v>
      </c>
      <c r="G27" s="65">
        <v>818</v>
      </c>
      <c r="H27" s="65">
        <v>2035</v>
      </c>
      <c r="I27" s="65">
        <v>1147</v>
      </c>
      <c r="J27" s="65">
        <v>7868</v>
      </c>
      <c r="K27" s="66" t="s">
        <v>93</v>
      </c>
      <c r="L27" s="237"/>
    </row>
    <row r="28" spans="2:12" x14ac:dyDescent="0.35">
      <c r="B28" s="234"/>
      <c r="C28" s="64" t="s">
        <v>78</v>
      </c>
      <c r="D28" s="65">
        <v>1912</v>
      </c>
      <c r="E28" s="65">
        <v>142</v>
      </c>
      <c r="F28" s="65">
        <v>1916</v>
      </c>
      <c r="G28" s="65">
        <v>691</v>
      </c>
      <c r="H28" s="65">
        <v>1610</v>
      </c>
      <c r="I28" s="65">
        <v>1448</v>
      </c>
      <c r="J28" s="65">
        <v>7718</v>
      </c>
      <c r="K28" s="66" t="s">
        <v>94</v>
      </c>
      <c r="L28" s="237"/>
    </row>
    <row r="29" spans="2:12" x14ac:dyDescent="0.35">
      <c r="B29" s="234"/>
      <c r="C29" s="64" t="s">
        <v>79</v>
      </c>
      <c r="D29" s="65">
        <v>2448</v>
      </c>
      <c r="E29" s="65">
        <v>311</v>
      </c>
      <c r="F29" s="65">
        <v>1731</v>
      </c>
      <c r="G29" s="65">
        <v>884</v>
      </c>
      <c r="H29" s="65">
        <v>1952</v>
      </c>
      <c r="I29" s="65">
        <v>1560</v>
      </c>
      <c r="J29" s="65">
        <v>8886</v>
      </c>
      <c r="K29" s="66" t="s">
        <v>95</v>
      </c>
      <c r="L29" s="237"/>
    </row>
    <row r="30" spans="2:12" x14ac:dyDescent="0.35">
      <c r="B30" s="234"/>
      <c r="C30" s="64" t="s">
        <v>80</v>
      </c>
      <c r="D30" s="65">
        <v>2132</v>
      </c>
      <c r="E30" s="65">
        <v>324</v>
      </c>
      <c r="F30" s="65">
        <v>1725</v>
      </c>
      <c r="G30" s="65">
        <v>885</v>
      </c>
      <c r="H30" s="65">
        <v>1867</v>
      </c>
      <c r="I30" s="65">
        <v>1606</v>
      </c>
      <c r="J30" s="65">
        <v>8539</v>
      </c>
      <c r="K30" s="66" t="s">
        <v>96</v>
      </c>
      <c r="L30" s="237"/>
    </row>
    <row r="31" spans="2:12" x14ac:dyDescent="0.35">
      <c r="B31" s="235"/>
      <c r="C31" s="96" t="s">
        <v>81</v>
      </c>
      <c r="D31" s="65">
        <v>2905</v>
      </c>
      <c r="E31" s="65">
        <v>441</v>
      </c>
      <c r="F31" s="65">
        <v>2668</v>
      </c>
      <c r="G31" s="65">
        <v>1499</v>
      </c>
      <c r="H31" s="65">
        <v>2335</v>
      </c>
      <c r="I31" s="191">
        <v>2212</v>
      </c>
      <c r="J31" s="191">
        <v>12060</v>
      </c>
      <c r="K31" s="97" t="s">
        <v>97</v>
      </c>
      <c r="L31" s="238"/>
    </row>
    <row r="32" spans="2:12" x14ac:dyDescent="0.35">
      <c r="B32" s="282" t="s">
        <v>85</v>
      </c>
      <c r="C32" s="283"/>
      <c r="D32" s="69">
        <f>SUM(D20:D31)</f>
        <v>28322</v>
      </c>
      <c r="E32" s="69">
        <f t="shared" ref="E32:J32" si="1">SUM(E20:E31)</f>
        <v>3077</v>
      </c>
      <c r="F32" s="69">
        <f t="shared" si="1"/>
        <v>17783</v>
      </c>
      <c r="G32" s="69">
        <f t="shared" si="1"/>
        <v>12003</v>
      </c>
      <c r="H32" s="69">
        <f t="shared" si="1"/>
        <v>20017</v>
      </c>
      <c r="I32" s="69">
        <f t="shared" si="1"/>
        <v>17094</v>
      </c>
      <c r="J32" s="69">
        <f t="shared" si="1"/>
        <v>98295</v>
      </c>
      <c r="K32" s="284" t="s">
        <v>98</v>
      </c>
      <c r="L32" s="285"/>
    </row>
    <row r="33" spans="2:12" x14ac:dyDescent="0.35">
      <c r="B33" s="233">
        <v>2023</v>
      </c>
      <c r="C33" s="64" t="s">
        <v>70</v>
      </c>
      <c r="D33" s="65">
        <v>3558.7441443600001</v>
      </c>
      <c r="E33" s="65">
        <v>448.77388915</v>
      </c>
      <c r="F33" s="65">
        <v>1469.1588750799999</v>
      </c>
      <c r="G33" s="65">
        <v>1655.77056229</v>
      </c>
      <c r="H33" s="65">
        <v>1806.04658591</v>
      </c>
      <c r="I33" s="65">
        <v>1633.68124223</v>
      </c>
      <c r="J33" s="65">
        <v>10572.175299049999</v>
      </c>
      <c r="K33" s="66" t="s">
        <v>86</v>
      </c>
      <c r="L33" s="236">
        <v>2023</v>
      </c>
    </row>
    <row r="34" spans="2:12" x14ac:dyDescent="0.35">
      <c r="B34" s="234"/>
      <c r="C34" s="64" t="s">
        <v>71</v>
      </c>
      <c r="D34" s="65">
        <v>3928.5431735900002</v>
      </c>
      <c r="E34" s="65">
        <v>515.26077894000002</v>
      </c>
      <c r="F34" s="65">
        <v>1640.4009866600002</v>
      </c>
      <c r="G34" s="65">
        <v>1843.25472184</v>
      </c>
      <c r="H34" s="65">
        <v>1985.60683051</v>
      </c>
      <c r="I34" s="65">
        <v>1791.8908482899999</v>
      </c>
      <c r="J34" s="65">
        <v>11704.957341860001</v>
      </c>
      <c r="K34" s="66" t="s">
        <v>87</v>
      </c>
      <c r="L34" s="237"/>
    </row>
    <row r="35" spans="2:12" x14ac:dyDescent="0.35">
      <c r="B35" s="234"/>
      <c r="C35" s="64" t="s">
        <v>72</v>
      </c>
      <c r="D35" s="65">
        <v>5848.8170307099999</v>
      </c>
      <c r="E35" s="65">
        <v>721.06637625999997</v>
      </c>
      <c r="F35" s="65">
        <v>2346.1000254400001</v>
      </c>
      <c r="G35" s="65">
        <v>2727.54814162</v>
      </c>
      <c r="H35" s="65">
        <v>2975.0003387699999</v>
      </c>
      <c r="I35" s="65">
        <v>2679.0579114699999</v>
      </c>
      <c r="J35" s="65">
        <v>17297.58982528</v>
      </c>
      <c r="K35" s="66" t="s">
        <v>88</v>
      </c>
      <c r="L35" s="237"/>
    </row>
    <row r="36" spans="2:12" x14ac:dyDescent="0.35">
      <c r="B36" s="234"/>
      <c r="C36" s="64" t="s">
        <v>73</v>
      </c>
      <c r="D36" s="65">
        <v>3608.96636971</v>
      </c>
      <c r="E36" s="65">
        <v>391.68111493999999</v>
      </c>
      <c r="F36" s="65">
        <v>2052.9625469900002</v>
      </c>
      <c r="G36" s="65">
        <v>2202.4587123299998</v>
      </c>
      <c r="H36" s="65">
        <v>2957.7936467199997</v>
      </c>
      <c r="I36" s="65">
        <v>1750.1001829000002</v>
      </c>
      <c r="J36" s="65">
        <v>12963.96257371</v>
      </c>
      <c r="K36" s="66" t="s">
        <v>89</v>
      </c>
      <c r="L36" s="237"/>
    </row>
    <row r="37" spans="2:12" x14ac:dyDescent="0.35">
      <c r="B37" s="234"/>
      <c r="C37" s="64" t="s">
        <v>74</v>
      </c>
      <c r="D37" s="65">
        <v>2327.9910561399997</v>
      </c>
      <c r="E37" s="65">
        <v>377.58171676999996</v>
      </c>
      <c r="F37" s="65">
        <v>1695.2661799800001</v>
      </c>
      <c r="G37" s="65">
        <v>1489.32786289</v>
      </c>
      <c r="H37" s="65">
        <v>2176.3444226300003</v>
      </c>
      <c r="I37" s="65">
        <v>1097.41684749</v>
      </c>
      <c r="J37" s="65">
        <v>9163.9280874300002</v>
      </c>
      <c r="K37" s="66" t="s">
        <v>90</v>
      </c>
      <c r="L37" s="237"/>
    </row>
    <row r="38" spans="2:12" x14ac:dyDescent="0.35">
      <c r="B38" s="234"/>
      <c r="C38" s="64" t="s">
        <v>75</v>
      </c>
      <c r="D38" s="65">
        <v>10349.126533780001</v>
      </c>
      <c r="E38" s="65">
        <v>253.52446125</v>
      </c>
      <c r="F38" s="65">
        <v>3350.0504668499998</v>
      </c>
      <c r="G38" s="65">
        <v>3230.0364380999999</v>
      </c>
      <c r="H38" s="65">
        <v>4046.6826840799999</v>
      </c>
      <c r="I38" s="65">
        <v>9060.7459228200005</v>
      </c>
      <c r="J38" s="65">
        <v>30290.16650385</v>
      </c>
      <c r="K38" s="66" t="s">
        <v>91</v>
      </c>
      <c r="L38" s="237"/>
    </row>
    <row r="39" spans="2:12" x14ac:dyDescent="0.35">
      <c r="B39" s="234"/>
      <c r="C39" s="64" t="s">
        <v>76</v>
      </c>
      <c r="D39" s="65">
        <v>1412.7680999200002</v>
      </c>
      <c r="E39" s="65">
        <v>190.79402696</v>
      </c>
      <c r="F39" s="65">
        <v>853.79921560000003</v>
      </c>
      <c r="G39" s="65">
        <v>807.00074354999992</v>
      </c>
      <c r="H39" s="65">
        <v>1058.0488944700001</v>
      </c>
      <c r="I39" s="65">
        <v>652.05377694000003</v>
      </c>
      <c r="J39" s="65">
        <v>4974.4647569399995</v>
      </c>
      <c r="K39" s="66" t="s">
        <v>92</v>
      </c>
      <c r="L39" s="237"/>
    </row>
    <row r="40" spans="2:12" x14ac:dyDescent="0.35">
      <c r="B40" s="234"/>
      <c r="C40" s="64" t="s">
        <v>77</v>
      </c>
      <c r="D40" s="65">
        <v>2151.30357731</v>
      </c>
      <c r="E40" s="65">
        <v>209.42646775999998</v>
      </c>
      <c r="F40" s="65">
        <v>1034.6184062</v>
      </c>
      <c r="G40" s="65">
        <v>1170.1225768299998</v>
      </c>
      <c r="H40" s="65">
        <v>1384.9717777999999</v>
      </c>
      <c r="I40" s="65">
        <v>1002.1746807899999</v>
      </c>
      <c r="J40" s="65">
        <v>6952.6174930899997</v>
      </c>
      <c r="K40" s="66" t="s">
        <v>93</v>
      </c>
      <c r="L40" s="237"/>
    </row>
    <row r="41" spans="2:12" x14ac:dyDescent="0.35">
      <c r="B41" s="234"/>
      <c r="C41" s="64" t="s">
        <v>78</v>
      </c>
      <c r="D41" s="65">
        <v>2473.1652369499998</v>
      </c>
      <c r="E41" s="65">
        <v>181.99662731000001</v>
      </c>
      <c r="F41" s="65">
        <v>1038.84636052</v>
      </c>
      <c r="G41" s="65">
        <v>1315.0999649300002</v>
      </c>
      <c r="H41" s="65">
        <v>1534.5000902199999</v>
      </c>
      <c r="I41" s="65">
        <v>1191.7824439600001</v>
      </c>
      <c r="J41" s="65">
        <v>7735.39072184</v>
      </c>
      <c r="K41" s="66" t="s">
        <v>94</v>
      </c>
      <c r="L41" s="237"/>
    </row>
    <row r="42" spans="2:12" x14ac:dyDescent="0.35">
      <c r="B42" s="234"/>
      <c r="C42" s="64" t="s">
        <v>79</v>
      </c>
      <c r="D42" s="65">
        <v>3022.3918026900001</v>
      </c>
      <c r="E42" s="65">
        <v>214.70071306</v>
      </c>
      <c r="F42" s="65">
        <v>1199.27169714</v>
      </c>
      <c r="G42" s="65">
        <v>1553.9572846900001</v>
      </c>
      <c r="H42" s="65">
        <v>1730.0270024400002</v>
      </c>
      <c r="I42" s="65">
        <v>1439.1290989900001</v>
      </c>
      <c r="J42" s="65">
        <v>9159.4775986200002</v>
      </c>
      <c r="K42" s="66" t="s">
        <v>95</v>
      </c>
      <c r="L42" s="237"/>
    </row>
    <row r="43" spans="2:12" x14ac:dyDescent="0.35">
      <c r="B43" s="234"/>
      <c r="C43" s="64" t="s">
        <v>80</v>
      </c>
      <c r="D43" s="65">
        <v>3197.8727641300002</v>
      </c>
      <c r="E43" s="65">
        <v>236.27118609999999</v>
      </c>
      <c r="F43" s="65">
        <v>1304.0935232100001</v>
      </c>
      <c r="G43" s="65">
        <v>1653.1327821899999</v>
      </c>
      <c r="H43" s="65">
        <v>1871.6689960599999</v>
      </c>
      <c r="I43" s="65">
        <v>1527.0081472500001</v>
      </c>
      <c r="J43" s="65">
        <v>9790.0473987500009</v>
      </c>
      <c r="K43" s="66" t="s">
        <v>96</v>
      </c>
      <c r="L43" s="237"/>
    </row>
    <row r="44" spans="2:12" x14ac:dyDescent="0.35">
      <c r="B44" s="235"/>
      <c r="C44" s="96" t="s">
        <v>81</v>
      </c>
      <c r="D44" s="65">
        <v>3474.8200993800001</v>
      </c>
      <c r="E44" s="65">
        <v>268.78277466000003</v>
      </c>
      <c r="F44" s="65">
        <v>1439.00191477</v>
      </c>
      <c r="G44" s="65">
        <v>1808.3764774799999</v>
      </c>
      <c r="H44" s="65">
        <v>2004.94388144</v>
      </c>
      <c r="I44" s="191">
        <v>1633.2760687999998</v>
      </c>
      <c r="J44" s="191">
        <v>10629.201217670001</v>
      </c>
      <c r="K44" s="97" t="s">
        <v>97</v>
      </c>
      <c r="L44" s="238"/>
    </row>
    <row r="45" spans="2:12" x14ac:dyDescent="0.35">
      <c r="B45" s="282" t="s">
        <v>85</v>
      </c>
      <c r="C45" s="283"/>
      <c r="D45" s="69">
        <v>45354.50988867</v>
      </c>
      <c r="E45" s="69">
        <v>4009.8601331599998</v>
      </c>
      <c r="F45" s="69">
        <v>19423.57019844</v>
      </c>
      <c r="G45" s="69">
        <v>21456.08626874</v>
      </c>
      <c r="H45" s="69">
        <v>25531.635151049999</v>
      </c>
      <c r="I45" s="69">
        <v>25458.317171930001</v>
      </c>
      <c r="J45" s="69">
        <v>141233.97881808999</v>
      </c>
      <c r="K45" s="284" t="s">
        <v>98</v>
      </c>
      <c r="L45" s="285"/>
    </row>
    <row r="46" spans="2:12" x14ac:dyDescent="0.35">
      <c r="B46" s="233">
        <v>2024</v>
      </c>
      <c r="C46" s="64" t="s">
        <v>70</v>
      </c>
      <c r="D46" s="65">
        <v>4389.1367820100004</v>
      </c>
      <c r="E46" s="65">
        <v>503.7491162</v>
      </c>
      <c r="F46" s="65">
        <v>1681.6034098399998</v>
      </c>
      <c r="G46" s="65">
        <v>1916.84472441</v>
      </c>
      <c r="H46" s="65">
        <v>1884.8423198</v>
      </c>
      <c r="I46" s="65">
        <v>1986.7421063299998</v>
      </c>
      <c r="J46" s="65">
        <v>12362.91845684</v>
      </c>
      <c r="K46" s="66" t="s">
        <v>86</v>
      </c>
      <c r="L46" s="236">
        <v>2024</v>
      </c>
    </row>
    <row r="47" spans="2:12" x14ac:dyDescent="0.35">
      <c r="B47" s="234"/>
      <c r="C47" s="64" t="s">
        <v>71</v>
      </c>
      <c r="D47" s="65">
        <v>5778.3383915300001</v>
      </c>
      <c r="E47" s="65">
        <v>611.22229776999995</v>
      </c>
      <c r="F47" s="65">
        <v>2092.0169644900002</v>
      </c>
      <c r="G47" s="65">
        <v>2463.5875937399996</v>
      </c>
      <c r="H47" s="65">
        <v>2340.7330459699997</v>
      </c>
      <c r="I47" s="65">
        <v>2621.1663220599999</v>
      </c>
      <c r="J47" s="65">
        <v>15907.0646163</v>
      </c>
      <c r="K47" s="66" t="s">
        <v>87</v>
      </c>
      <c r="L47" s="237"/>
    </row>
    <row r="48" spans="2:12" x14ac:dyDescent="0.35">
      <c r="B48" s="234"/>
      <c r="C48" s="64" t="s">
        <v>72</v>
      </c>
      <c r="D48" s="65">
        <v>6358.01169089</v>
      </c>
      <c r="E48" s="65">
        <v>690.07475438999995</v>
      </c>
      <c r="F48" s="65">
        <v>2330.8379032800003</v>
      </c>
      <c r="G48" s="65">
        <v>2720.7513884999998</v>
      </c>
      <c r="H48" s="65">
        <v>2530.7134298699998</v>
      </c>
      <c r="I48" s="65">
        <v>2892.51327692</v>
      </c>
      <c r="J48" s="65">
        <v>17522.90244378</v>
      </c>
      <c r="K48" s="66" t="s">
        <v>88</v>
      </c>
      <c r="L48" s="237"/>
    </row>
    <row r="49" spans="2:12" x14ac:dyDescent="0.35">
      <c r="B49" s="234"/>
      <c r="C49" s="64" t="s">
        <v>73</v>
      </c>
      <c r="D49" s="65">
        <v>3348.7127164799999</v>
      </c>
      <c r="E49" s="65">
        <v>362.07418580000001</v>
      </c>
      <c r="F49" s="65">
        <v>1604.8845100799999</v>
      </c>
      <c r="G49" s="65">
        <v>1764.1434475399999</v>
      </c>
      <c r="H49" s="65">
        <v>1906.3995307</v>
      </c>
      <c r="I49" s="65">
        <v>1473.7288964700001</v>
      </c>
      <c r="J49" s="65">
        <v>10459.94328659</v>
      </c>
      <c r="K49" s="66" t="s">
        <v>89</v>
      </c>
      <c r="L49" s="237"/>
    </row>
    <row r="50" spans="2:12" x14ac:dyDescent="0.35">
      <c r="B50" s="234"/>
      <c r="C50" s="64" t="s">
        <v>74</v>
      </c>
      <c r="D50" s="65">
        <v>2156.0727052900002</v>
      </c>
      <c r="E50" s="65">
        <v>420.51620614999996</v>
      </c>
      <c r="F50" s="65">
        <v>1632.2640589800001</v>
      </c>
      <c r="G50" s="65">
        <v>1316.31334978</v>
      </c>
      <c r="H50" s="65">
        <v>1742.4571941199999</v>
      </c>
      <c r="I50" s="65">
        <v>898.37906184000008</v>
      </c>
      <c r="J50" s="65">
        <v>8166.0025753599994</v>
      </c>
      <c r="K50" s="66" t="s">
        <v>90</v>
      </c>
      <c r="L50" s="237"/>
    </row>
    <row r="51" spans="2:12" x14ac:dyDescent="0.35">
      <c r="B51" s="234"/>
      <c r="C51" s="64" t="s">
        <v>75</v>
      </c>
      <c r="D51" s="65">
        <v>11081.574110719999</v>
      </c>
      <c r="E51" s="65">
        <v>225.57625083000002</v>
      </c>
      <c r="F51" s="65">
        <v>5403.5148561000005</v>
      </c>
      <c r="G51" s="65">
        <v>2370.24656839</v>
      </c>
      <c r="H51" s="65">
        <v>5247.8517643100004</v>
      </c>
      <c r="I51" s="65">
        <v>5519.8410859099995</v>
      </c>
      <c r="J51" s="65">
        <v>29848.604636979999</v>
      </c>
      <c r="K51" s="66" t="s">
        <v>91</v>
      </c>
      <c r="L51" s="237"/>
    </row>
    <row r="52" spans="2:12" x14ac:dyDescent="0.35">
      <c r="B52" s="234"/>
      <c r="C52" s="64" t="s">
        <v>76</v>
      </c>
      <c r="D52" s="65">
        <v>2748.8277120100001</v>
      </c>
      <c r="E52" s="65">
        <v>257.28606378000001</v>
      </c>
      <c r="F52" s="65">
        <v>1277.3295570599998</v>
      </c>
      <c r="G52" s="65">
        <v>1451.0258132500001</v>
      </c>
      <c r="H52" s="65">
        <v>1695.57336831</v>
      </c>
      <c r="I52" s="65">
        <v>1287.6574645799999</v>
      </c>
      <c r="J52" s="65">
        <v>8717.6999805100004</v>
      </c>
      <c r="K52" s="66" t="s">
        <v>92</v>
      </c>
      <c r="L52" s="237"/>
    </row>
    <row r="53" spans="2:12" x14ac:dyDescent="0.35">
      <c r="B53" s="234"/>
      <c r="C53" s="64" t="s">
        <v>77</v>
      </c>
      <c r="D53" s="65">
        <v>3158.3310005500002</v>
      </c>
      <c r="E53" s="65">
        <v>273.96541533999999</v>
      </c>
      <c r="F53" s="65">
        <v>1364.2414076</v>
      </c>
      <c r="G53" s="65">
        <v>1620.5451562200001</v>
      </c>
      <c r="H53" s="65">
        <v>1798.97367831</v>
      </c>
      <c r="I53" s="65">
        <v>1465.8914977500001</v>
      </c>
      <c r="J53" s="65">
        <v>9681.9481528600008</v>
      </c>
      <c r="K53" s="66" t="s">
        <v>93</v>
      </c>
      <c r="L53" s="237"/>
    </row>
    <row r="54" spans="2:12" x14ac:dyDescent="0.35">
      <c r="B54" s="234"/>
      <c r="C54" s="64" t="s">
        <v>78</v>
      </c>
      <c r="D54" s="65">
        <v>3448.13492692</v>
      </c>
      <c r="E54" s="65">
        <v>252.05859108999999</v>
      </c>
      <c r="F54" s="65">
        <v>1373.45610042</v>
      </c>
      <c r="G54" s="65">
        <v>1747.21714851</v>
      </c>
      <c r="H54" s="65">
        <v>1947.0279849200001</v>
      </c>
      <c r="I54" s="65">
        <v>1642.2786283099999</v>
      </c>
      <c r="J54" s="65">
        <v>10410.173378950001</v>
      </c>
      <c r="K54" s="66" t="s">
        <v>94</v>
      </c>
      <c r="L54" s="237"/>
    </row>
    <row r="55" spans="2:12" x14ac:dyDescent="0.35">
      <c r="B55" s="234"/>
      <c r="C55" s="64" t="s">
        <v>79</v>
      </c>
      <c r="D55" s="65">
        <v>4871.8681605299998</v>
      </c>
      <c r="E55" s="65">
        <v>407.45241406999997</v>
      </c>
      <c r="F55" s="65">
        <v>2009.31723723</v>
      </c>
      <c r="G55" s="65">
        <v>2459.1916466500002</v>
      </c>
      <c r="H55" s="65">
        <v>2608.46129225</v>
      </c>
      <c r="I55" s="65">
        <v>2235.4550848700001</v>
      </c>
      <c r="J55" s="65">
        <v>14591.74583582</v>
      </c>
      <c r="K55" s="66" t="s">
        <v>95</v>
      </c>
      <c r="L55" s="237"/>
    </row>
    <row r="56" spans="2:12" x14ac:dyDescent="0.35">
      <c r="B56" s="234"/>
      <c r="C56" s="64" t="s">
        <v>80</v>
      </c>
      <c r="D56" s="65">
        <v>4566.4231348800004</v>
      </c>
      <c r="E56" s="65">
        <v>368.46081002999995</v>
      </c>
      <c r="F56" s="65">
        <v>1843.23953719</v>
      </c>
      <c r="G56" s="65">
        <v>2284.6062807100002</v>
      </c>
      <c r="H56" s="65">
        <v>2417.59710408</v>
      </c>
      <c r="I56" s="65">
        <v>2107.05736639</v>
      </c>
      <c r="J56" s="65">
        <v>13587.384235580001</v>
      </c>
      <c r="K56" s="66" t="s">
        <v>96</v>
      </c>
      <c r="L56" s="237"/>
    </row>
    <row r="57" spans="2:12" x14ac:dyDescent="0.35">
      <c r="B57" s="235"/>
      <c r="C57" s="96" t="s">
        <v>81</v>
      </c>
      <c r="D57" s="65">
        <v>5866.4664264100002</v>
      </c>
      <c r="E57" s="65">
        <v>527.28726825000001</v>
      </c>
      <c r="F57" s="65">
        <v>2428.8537811799997</v>
      </c>
      <c r="G57" s="65">
        <v>2887.7891205999999</v>
      </c>
      <c r="H57" s="65">
        <v>2928.5614456599997</v>
      </c>
      <c r="I57" s="191">
        <v>2628.8287068499999</v>
      </c>
      <c r="J57" s="191">
        <v>17267.78674675</v>
      </c>
      <c r="K57" s="97" t="s">
        <v>97</v>
      </c>
      <c r="L57" s="238"/>
    </row>
    <row r="58" spans="2:12" x14ac:dyDescent="0.35">
      <c r="B58" s="282" t="s">
        <v>85</v>
      </c>
      <c r="C58" s="283"/>
      <c r="D58" s="69">
        <v>57771.897758220002</v>
      </c>
      <c r="E58" s="69">
        <v>4899.7233736999997</v>
      </c>
      <c r="F58" s="69">
        <v>25041.559323450001</v>
      </c>
      <c r="G58" s="69">
        <v>25002.262238299998</v>
      </c>
      <c r="H58" s="69">
        <v>29049.1921583</v>
      </c>
      <c r="I58" s="69">
        <v>26759.539498279999</v>
      </c>
      <c r="J58" s="69">
        <v>168524.17434632001</v>
      </c>
      <c r="K58" s="284" t="s">
        <v>98</v>
      </c>
      <c r="L58" s="285"/>
    </row>
    <row r="59" spans="2:12" x14ac:dyDescent="0.35">
      <c r="B59" s="233">
        <v>2025</v>
      </c>
      <c r="C59" s="64" t="s">
        <v>70</v>
      </c>
      <c r="D59" s="65">
        <v>5575.59254289</v>
      </c>
      <c r="E59" s="65">
        <v>343.53473613</v>
      </c>
      <c r="F59" s="65">
        <v>1831.3912475299999</v>
      </c>
      <c r="G59" s="65">
        <v>1429.6386165699998</v>
      </c>
      <c r="H59" s="65">
        <v>3899.6606425199998</v>
      </c>
      <c r="I59" s="65">
        <v>3712.1595162899998</v>
      </c>
      <c r="J59" s="65">
        <v>16791.97730436</v>
      </c>
      <c r="K59" s="66" t="s">
        <v>86</v>
      </c>
      <c r="L59" s="236">
        <v>2025</v>
      </c>
    </row>
    <row r="60" spans="2:12" x14ac:dyDescent="0.35">
      <c r="B60" s="234"/>
      <c r="C60" s="64" t="s">
        <v>71</v>
      </c>
      <c r="D60" s="65">
        <v>6200.0255158500004</v>
      </c>
      <c r="E60" s="65">
        <v>394.30832243000003</v>
      </c>
      <c r="F60" s="65">
        <v>2066.39120757</v>
      </c>
      <c r="G60" s="65">
        <v>1590.1289687200001</v>
      </c>
      <c r="H60" s="65">
        <v>4060.4053217300002</v>
      </c>
      <c r="I60" s="65">
        <v>3888.3044228700001</v>
      </c>
      <c r="J60" s="65">
        <v>18199.563758439999</v>
      </c>
      <c r="K60" s="66" t="s">
        <v>87</v>
      </c>
      <c r="L60" s="237"/>
    </row>
    <row r="61" spans="2:12" x14ac:dyDescent="0.35">
      <c r="B61" s="234"/>
      <c r="C61" s="64" t="s">
        <v>72</v>
      </c>
      <c r="D61" s="65">
        <v>5216.3777972500002</v>
      </c>
      <c r="E61" s="65">
        <v>548.53600941000002</v>
      </c>
      <c r="F61" s="65">
        <v>2099.8434749799999</v>
      </c>
      <c r="G61" s="65">
        <v>1444.2924822100001</v>
      </c>
      <c r="H61" s="65">
        <v>4032.1968719400002</v>
      </c>
      <c r="I61" s="65">
        <v>3475.1209753000003</v>
      </c>
      <c r="J61" s="65">
        <v>16816.367610379999</v>
      </c>
      <c r="K61" s="66" t="s">
        <v>88</v>
      </c>
      <c r="L61" s="237"/>
    </row>
    <row r="62" spans="2:12" x14ac:dyDescent="0.35">
      <c r="B62" s="234"/>
      <c r="C62" s="64" t="s">
        <v>73</v>
      </c>
      <c r="D62" s="65">
        <v>2289.95812105</v>
      </c>
      <c r="E62" s="65">
        <v>376.78082782000001</v>
      </c>
      <c r="F62" s="65">
        <v>966.92676948999997</v>
      </c>
      <c r="G62" s="65">
        <v>660.34820146000004</v>
      </c>
      <c r="H62" s="65">
        <v>1764.14700444</v>
      </c>
      <c r="I62" s="65">
        <v>1283.2629005199999</v>
      </c>
      <c r="J62" s="65">
        <v>7341.4238260000002</v>
      </c>
      <c r="K62" s="66" t="s">
        <v>89</v>
      </c>
      <c r="L62" s="237"/>
    </row>
    <row r="63" spans="2:12" x14ac:dyDescent="0.35">
      <c r="B63" s="234"/>
      <c r="C63" s="64" t="s">
        <v>74</v>
      </c>
      <c r="D63" s="65">
        <v>910.85244338999996</v>
      </c>
      <c r="E63" s="65">
        <v>347.97458417000001</v>
      </c>
      <c r="F63" s="65">
        <v>717.87702008000008</v>
      </c>
      <c r="G63" s="65">
        <v>372.13110358</v>
      </c>
      <c r="H63" s="65">
        <v>989.98389078000002</v>
      </c>
      <c r="I63" s="65">
        <v>355.75052702999994</v>
      </c>
      <c r="J63" s="65">
        <v>3694.5695726999998</v>
      </c>
      <c r="K63" s="66" t="s">
        <v>90</v>
      </c>
      <c r="L63" s="237"/>
    </row>
    <row r="64" spans="2:12" x14ac:dyDescent="0.35">
      <c r="B64" s="234"/>
      <c r="C64" s="64" t="s">
        <v>75</v>
      </c>
      <c r="D64" s="65">
        <v>10176.205284110001</v>
      </c>
      <c r="E64" s="65">
        <v>277.12402923000002</v>
      </c>
      <c r="F64" s="65">
        <v>4878.1190163900001</v>
      </c>
      <c r="G64" s="65">
        <v>1925.72828368</v>
      </c>
      <c r="H64" s="65">
        <v>5004.7936302299995</v>
      </c>
      <c r="I64" s="65">
        <v>5213.1091685900001</v>
      </c>
      <c r="J64" s="65">
        <v>27475.079414749998</v>
      </c>
      <c r="K64" s="66" t="s">
        <v>91</v>
      </c>
      <c r="L64" s="237"/>
    </row>
    <row r="65" spans="2:12" x14ac:dyDescent="0.35">
      <c r="B65" s="234"/>
      <c r="C65" s="64" t="s">
        <v>76</v>
      </c>
      <c r="D65" s="65">
        <v>3980.97264795</v>
      </c>
      <c r="E65" s="65">
        <v>326.18084750999998</v>
      </c>
      <c r="F65" s="65">
        <v>1519.4782797100002</v>
      </c>
      <c r="G65" s="65">
        <v>1146.97246144</v>
      </c>
      <c r="H65" s="65">
        <v>2662.60665819</v>
      </c>
      <c r="I65" s="65">
        <v>2792.17400223</v>
      </c>
      <c r="J65" s="65">
        <v>12428.38489879</v>
      </c>
      <c r="K65" s="66" t="s">
        <v>92</v>
      </c>
      <c r="L65" s="237"/>
    </row>
    <row r="66" spans="2:12" x14ac:dyDescent="0.35">
      <c r="B66" s="234"/>
      <c r="C66" s="64" t="s">
        <v>77</v>
      </c>
      <c r="D66" s="65">
        <v>3826.7182068699999</v>
      </c>
      <c r="E66" s="65">
        <v>328.56126358999995</v>
      </c>
      <c r="F66" s="65">
        <v>1475.5432262300001</v>
      </c>
      <c r="G66" s="65">
        <v>1061.87621457</v>
      </c>
      <c r="H66" s="65">
        <v>2846.8111335799999</v>
      </c>
      <c r="I66" s="65">
        <v>2739.97202513</v>
      </c>
      <c r="J66" s="65">
        <v>12279.4820686</v>
      </c>
      <c r="K66" s="66" t="s">
        <v>93</v>
      </c>
      <c r="L66" s="237"/>
    </row>
    <row r="67" spans="2:12" x14ac:dyDescent="0.35">
      <c r="B67" s="234"/>
      <c r="C67" s="64" t="s">
        <v>78</v>
      </c>
      <c r="D67" s="65">
        <v>3330.1253883899999</v>
      </c>
      <c r="E67" s="65">
        <v>280.97570087000003</v>
      </c>
      <c r="F67" s="65">
        <v>1347.4951263299999</v>
      </c>
      <c r="G67" s="65">
        <v>910.57287483000005</v>
      </c>
      <c r="H67" s="65">
        <v>2597.9247613699999</v>
      </c>
      <c r="I67" s="65">
        <v>2466.4837946900002</v>
      </c>
      <c r="J67" s="65">
        <v>10933.57764876</v>
      </c>
      <c r="K67" s="66" t="s">
        <v>94</v>
      </c>
      <c r="L67" s="237"/>
    </row>
    <row r="68" spans="2:12" x14ac:dyDescent="0.35">
      <c r="B68" s="234"/>
      <c r="C68" s="64" t="s">
        <v>79</v>
      </c>
      <c r="D68" s="65">
        <v>4416.1898992899996</v>
      </c>
      <c r="E68" s="65">
        <v>500.31030838999999</v>
      </c>
      <c r="F68" s="65">
        <v>1782.7532975199999</v>
      </c>
      <c r="G68" s="65">
        <v>1219.2621931600002</v>
      </c>
      <c r="H68" s="65">
        <v>3419.97854095</v>
      </c>
      <c r="I68" s="65">
        <v>3084.7793418599999</v>
      </c>
      <c r="J68" s="65">
        <v>14423.273580309999</v>
      </c>
      <c r="K68" s="66" t="s">
        <v>95</v>
      </c>
      <c r="L68" s="237"/>
    </row>
    <row r="69" spans="2:12" x14ac:dyDescent="0.35">
      <c r="B69" s="234"/>
      <c r="C69" s="64" t="s">
        <v>80</v>
      </c>
      <c r="D69" s="65">
        <v>5603.8483564300004</v>
      </c>
      <c r="E69" s="65">
        <v>491.53891689</v>
      </c>
      <c r="F69" s="65">
        <v>1784.6312598</v>
      </c>
      <c r="G69" s="65">
        <v>1413.49495544</v>
      </c>
      <c r="H69" s="65">
        <v>3794.15908885</v>
      </c>
      <c r="I69" s="65">
        <v>3661.4604672300002</v>
      </c>
      <c r="J69" s="65">
        <v>16749.13304221</v>
      </c>
      <c r="K69" s="66" t="s">
        <v>96</v>
      </c>
      <c r="L69" s="237"/>
    </row>
    <row r="70" spans="2:12" x14ac:dyDescent="0.35">
      <c r="B70" s="235"/>
      <c r="C70" s="96" t="s">
        <v>81</v>
      </c>
      <c r="D70" s="65">
        <v>6692.7082074799991</v>
      </c>
      <c r="E70" s="65">
        <v>551.74194477999993</v>
      </c>
      <c r="F70" s="65">
        <v>2120.0086109899999</v>
      </c>
      <c r="G70" s="65">
        <v>1687.21620248</v>
      </c>
      <c r="H70" s="65">
        <v>4398.0235576300001</v>
      </c>
      <c r="I70" s="191">
        <v>4046.16148415</v>
      </c>
      <c r="J70" s="191">
        <v>19495.86000814</v>
      </c>
      <c r="K70" s="97" t="s">
        <v>97</v>
      </c>
      <c r="L70" s="238"/>
    </row>
    <row r="71" spans="2:12" x14ac:dyDescent="0.35">
      <c r="B71" s="282" t="s">
        <v>85</v>
      </c>
      <c r="C71" s="283"/>
      <c r="D71" s="69">
        <v>58219.574410949994</v>
      </c>
      <c r="E71" s="69">
        <v>4767.5674912200002</v>
      </c>
      <c r="F71" s="69">
        <v>22590.458536619997</v>
      </c>
      <c r="G71" s="69">
        <v>14861.662558139999</v>
      </c>
      <c r="H71" s="69">
        <v>39470.691102209996</v>
      </c>
      <c r="I71" s="69">
        <v>36718.738625890001</v>
      </c>
      <c r="J71" s="69">
        <v>176628.69273344</v>
      </c>
      <c r="K71" s="284" t="s">
        <v>98</v>
      </c>
      <c r="L71" s="285"/>
    </row>
  </sheetData>
  <mergeCells count="22">
    <mergeCell ref="B59:B70"/>
    <mergeCell ref="L59:L70"/>
    <mergeCell ref="B71:C71"/>
    <mergeCell ref="K71:L71"/>
    <mergeCell ref="B33:B44"/>
    <mergeCell ref="L33:L44"/>
    <mergeCell ref="B46:B57"/>
    <mergeCell ref="L46:L57"/>
    <mergeCell ref="B58:C58"/>
    <mergeCell ref="K58:L58"/>
    <mergeCell ref="B45:C45"/>
    <mergeCell ref="K45:L45"/>
    <mergeCell ref="B20:B31"/>
    <mergeCell ref="L20:L31"/>
    <mergeCell ref="B32:C32"/>
    <mergeCell ref="K32:L32"/>
    <mergeCell ref="A2:E2"/>
    <mergeCell ref="A3:E3"/>
    <mergeCell ref="B7:B18"/>
    <mergeCell ref="L7:L18"/>
    <mergeCell ref="B19:C19"/>
    <mergeCell ref="K19:L19"/>
  </mergeCells>
  <pageMargins left="0.7" right="0.7" top="0.75" bottom="0.75" header="0.3" footer="0.3"/>
  <pageSetup paperSize="9" orientation="portrait" r:id="rId1"/>
  <headerFooter>
    <oddFooter>&amp;C_x000D_&amp;1#&amp;"Calibri"&amp;11&amp;Kffa500 CONFIDENTIAL▮▮مقيّد</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N74"/>
  <sheetViews>
    <sheetView showGridLines="0" topLeftCell="A38" zoomScale="80" zoomScaleNormal="80" workbookViewId="0"/>
  </sheetViews>
  <sheetFormatPr defaultColWidth="8.81640625" defaultRowHeight="14.5" x14ac:dyDescent="0.35"/>
  <cols>
    <col min="3" max="5" width="17.81640625" bestFit="1" customWidth="1"/>
    <col min="6" max="6" width="18.54296875" customWidth="1"/>
    <col min="7" max="7" width="21.453125" customWidth="1"/>
    <col min="8" max="9" width="22.453125" bestFit="1" customWidth="1"/>
    <col min="10" max="10" width="17.81640625" bestFit="1" customWidth="1"/>
    <col min="12" max="12" width="17.54296875" customWidth="1"/>
    <col min="13" max="13" width="18.54296875" customWidth="1"/>
    <col min="14" max="18" width="17.54296875" customWidth="1"/>
  </cols>
  <sheetData>
    <row r="1" spans="1:14" x14ac:dyDescent="0.35">
      <c r="A1" s="9" t="s">
        <v>524</v>
      </c>
    </row>
    <row r="2" spans="1:14" x14ac:dyDescent="0.35">
      <c r="A2" s="232" t="s">
        <v>448</v>
      </c>
      <c r="B2" s="232"/>
      <c r="C2" s="232"/>
      <c r="D2" s="232"/>
      <c r="E2" s="232"/>
    </row>
    <row r="3" spans="1:14" x14ac:dyDescent="0.35">
      <c r="A3" s="232" t="s">
        <v>449</v>
      </c>
      <c r="B3" s="232"/>
      <c r="C3" s="232"/>
      <c r="D3" s="232"/>
      <c r="E3" s="232"/>
      <c r="F3" s="286"/>
      <c r="G3" s="286"/>
      <c r="H3" s="286"/>
      <c r="I3" s="286"/>
      <c r="J3" s="286"/>
      <c r="K3" s="286"/>
    </row>
    <row r="4" spans="1:14" x14ac:dyDescent="0.35">
      <c r="A4" s="9"/>
      <c r="B4" s="192"/>
      <c r="C4" s="192"/>
      <c r="D4" s="192"/>
      <c r="E4" s="192"/>
      <c r="F4" s="193"/>
      <c r="G4" s="193"/>
      <c r="H4" s="193"/>
      <c r="I4" s="193"/>
      <c r="J4" s="193"/>
      <c r="K4" s="193"/>
    </row>
    <row r="5" spans="1:14" x14ac:dyDescent="0.35">
      <c r="A5" s="189"/>
      <c r="B5" s="189"/>
      <c r="C5" s="189"/>
      <c r="D5" s="189"/>
      <c r="E5" s="189"/>
      <c r="F5" s="190"/>
      <c r="G5" s="190"/>
      <c r="H5" s="190"/>
      <c r="I5" s="190"/>
      <c r="J5" s="190"/>
      <c r="K5" s="190"/>
    </row>
    <row r="6" spans="1:14" ht="18" customHeight="1" x14ac:dyDescent="0.35">
      <c r="A6" s="10" t="s">
        <v>14</v>
      </c>
      <c r="B6" s="30" t="s">
        <v>118</v>
      </c>
      <c r="C6" s="13"/>
      <c r="D6" s="13"/>
      <c r="E6" s="13"/>
      <c r="F6" s="13"/>
      <c r="G6" s="13"/>
      <c r="H6" s="13"/>
      <c r="I6" s="13"/>
      <c r="J6" s="13"/>
      <c r="K6" s="31" t="s">
        <v>133</v>
      </c>
    </row>
    <row r="7" spans="1:14" ht="18" customHeight="1" x14ac:dyDescent="0.35">
      <c r="B7" s="59"/>
      <c r="C7" s="60"/>
      <c r="K7" s="59"/>
    </row>
    <row r="8" spans="1:14" s="59" customFormat="1" ht="62.25" customHeight="1" x14ac:dyDescent="0.35">
      <c r="C8" s="98" t="s">
        <v>99</v>
      </c>
      <c r="D8" s="99" t="s">
        <v>321</v>
      </c>
      <c r="E8" s="99" t="s">
        <v>322</v>
      </c>
      <c r="F8" s="99" t="s">
        <v>323</v>
      </c>
      <c r="G8" s="100" t="s">
        <v>114</v>
      </c>
      <c r="H8" s="99" t="s">
        <v>324</v>
      </c>
      <c r="I8" s="100" t="s">
        <v>325</v>
      </c>
      <c r="J8" s="101" t="s">
        <v>100</v>
      </c>
    </row>
    <row r="9" spans="1:14" s="59" customFormat="1" ht="21" customHeight="1" x14ac:dyDescent="0.35">
      <c r="C9" s="182" t="s">
        <v>24</v>
      </c>
      <c r="D9" s="183" t="s">
        <v>23</v>
      </c>
      <c r="E9" s="183" t="s">
        <v>23</v>
      </c>
      <c r="F9" s="183" t="s">
        <v>120</v>
      </c>
      <c r="G9" s="184" t="s">
        <v>121</v>
      </c>
      <c r="H9" s="184" t="s">
        <v>122</v>
      </c>
      <c r="I9" s="184" t="s">
        <v>122</v>
      </c>
      <c r="J9" s="182" t="s">
        <v>20</v>
      </c>
    </row>
    <row r="10" spans="1:14" ht="18" customHeight="1" x14ac:dyDescent="0.35">
      <c r="B10" s="233">
        <v>2021</v>
      </c>
      <c r="C10" s="179" t="s">
        <v>70</v>
      </c>
      <c r="D10" s="149">
        <v>5919.7079999999996</v>
      </c>
      <c r="E10" s="149">
        <v>30553.419000000002</v>
      </c>
      <c r="F10" s="149">
        <v>8947.2120836600006</v>
      </c>
      <c r="G10" s="180">
        <v>5.1613050875905584</v>
      </c>
      <c r="H10" s="149">
        <v>1511.43</v>
      </c>
      <c r="I10" s="149">
        <v>292.83999999999997</v>
      </c>
      <c r="J10" s="181" t="s">
        <v>86</v>
      </c>
      <c r="K10" s="236">
        <v>2021</v>
      </c>
      <c r="L10" s="28"/>
      <c r="M10" s="28"/>
      <c r="N10" s="28"/>
    </row>
    <row r="11" spans="1:14" ht="18" customHeight="1" x14ac:dyDescent="0.35">
      <c r="B11" s="234"/>
      <c r="C11" s="64" t="s">
        <v>71</v>
      </c>
      <c r="D11" s="65">
        <v>4375.9139999999998</v>
      </c>
      <c r="E11" s="65">
        <v>21794.021000000001</v>
      </c>
      <c r="F11" s="65">
        <v>6681.4627656000002</v>
      </c>
      <c r="G11" s="102">
        <v>4.980450065499018</v>
      </c>
      <c r="H11" s="65">
        <v>1526.87</v>
      </c>
      <c r="I11" s="65">
        <v>306.57</v>
      </c>
      <c r="J11" s="66" t="s">
        <v>87</v>
      </c>
      <c r="K11" s="237"/>
      <c r="L11" s="28"/>
      <c r="M11" s="28"/>
      <c r="N11" s="28"/>
    </row>
    <row r="12" spans="1:14" ht="18" customHeight="1" x14ac:dyDescent="0.35">
      <c r="B12" s="234"/>
      <c r="C12" s="64" t="s">
        <v>72</v>
      </c>
      <c r="D12" s="65">
        <v>4408.0370000000003</v>
      </c>
      <c r="E12" s="65">
        <v>22466.081999999999</v>
      </c>
      <c r="F12" s="65">
        <v>6682.2521969600002</v>
      </c>
      <c r="G12" s="102">
        <v>5.0966183704485362</v>
      </c>
      <c r="H12" s="65">
        <v>1515.92</v>
      </c>
      <c r="I12" s="65">
        <v>297.44</v>
      </c>
      <c r="J12" s="66" t="s">
        <v>88</v>
      </c>
      <c r="K12" s="237"/>
      <c r="L12" s="28"/>
      <c r="M12" s="28"/>
      <c r="N12" s="28"/>
    </row>
    <row r="13" spans="1:14" ht="18" customHeight="1" x14ac:dyDescent="0.35">
      <c r="B13" s="234"/>
      <c r="C13" s="64" t="s">
        <v>73</v>
      </c>
      <c r="D13" s="65">
        <v>4431.0029999999997</v>
      </c>
      <c r="E13" s="65">
        <v>22860.204000000002</v>
      </c>
      <c r="F13" s="65">
        <v>6950.4257728000002</v>
      </c>
      <c r="G13" s="102">
        <v>5.1591488769540295</v>
      </c>
      <c r="H13" s="65">
        <v>1568.59</v>
      </c>
      <c r="I13" s="65">
        <v>304.04000000000002</v>
      </c>
      <c r="J13" s="66" t="s">
        <v>89</v>
      </c>
      <c r="K13" s="237"/>
      <c r="L13" s="28"/>
      <c r="M13" s="28"/>
      <c r="N13" s="28"/>
    </row>
    <row r="14" spans="1:14" ht="18" customHeight="1" x14ac:dyDescent="0.35">
      <c r="B14" s="234"/>
      <c r="C14" s="64" t="s">
        <v>74</v>
      </c>
      <c r="D14" s="65">
        <v>6727.9120000000003</v>
      </c>
      <c r="E14" s="65">
        <v>45029.406999999999</v>
      </c>
      <c r="F14" s="65">
        <v>11447.80762725</v>
      </c>
      <c r="G14" s="102">
        <v>6.6929245529622605</v>
      </c>
      <c r="H14" s="65">
        <v>1701.54</v>
      </c>
      <c r="I14" s="65">
        <v>254.23</v>
      </c>
      <c r="J14" s="66" t="s">
        <v>90</v>
      </c>
      <c r="K14" s="237"/>
      <c r="L14" s="28"/>
      <c r="M14" s="28"/>
      <c r="N14" s="28"/>
    </row>
    <row r="15" spans="1:14" ht="18" customHeight="1" x14ac:dyDescent="0.35">
      <c r="B15" s="234"/>
      <c r="C15" s="64" t="s">
        <v>75</v>
      </c>
      <c r="D15" s="65">
        <v>4165.5690000000004</v>
      </c>
      <c r="E15" s="65">
        <v>26069.288</v>
      </c>
      <c r="F15" s="65">
        <v>7031.1071669200001</v>
      </c>
      <c r="G15" s="102">
        <v>6.2582777079522414</v>
      </c>
      <c r="H15" s="65">
        <v>1687.91</v>
      </c>
      <c r="I15" s="65">
        <v>269.70999999999998</v>
      </c>
      <c r="J15" s="66" t="s">
        <v>91</v>
      </c>
      <c r="K15" s="237"/>
      <c r="L15" s="28"/>
      <c r="M15" s="28"/>
      <c r="N15" s="28"/>
    </row>
    <row r="16" spans="1:14" ht="18" customHeight="1" x14ac:dyDescent="0.35">
      <c r="B16" s="234"/>
      <c r="C16" s="64" t="s">
        <v>76</v>
      </c>
      <c r="D16" s="65">
        <v>7533.3509999999997</v>
      </c>
      <c r="E16" s="65">
        <v>59879.538999999997</v>
      </c>
      <c r="F16" s="65">
        <v>13917.116532530001</v>
      </c>
      <c r="G16" s="102">
        <v>7.9485927615421916</v>
      </c>
      <c r="H16" s="65">
        <v>1847.4</v>
      </c>
      <c r="I16" s="65">
        <v>232.42</v>
      </c>
      <c r="J16" s="66" t="s">
        <v>92</v>
      </c>
      <c r="K16" s="237"/>
      <c r="L16" s="28"/>
      <c r="M16" s="28"/>
      <c r="N16" s="28"/>
    </row>
    <row r="17" spans="2:14" ht="18" customHeight="1" x14ac:dyDescent="0.35">
      <c r="B17" s="234"/>
      <c r="C17" s="64" t="s">
        <v>77</v>
      </c>
      <c r="D17" s="65">
        <v>5482.25</v>
      </c>
      <c r="E17" s="65">
        <v>30082.489000000001</v>
      </c>
      <c r="F17" s="65">
        <v>8877.8013584</v>
      </c>
      <c r="G17" s="102">
        <v>5.4872523188750773</v>
      </c>
      <c r="H17" s="65">
        <v>1619.37</v>
      </c>
      <c r="I17" s="65">
        <v>295.12</v>
      </c>
      <c r="J17" s="66" t="s">
        <v>93</v>
      </c>
      <c r="K17" s="237"/>
      <c r="L17" s="28"/>
      <c r="M17" s="28"/>
      <c r="N17" s="28"/>
    </row>
    <row r="18" spans="2:14" ht="18" customHeight="1" x14ac:dyDescent="0.35">
      <c r="B18" s="234"/>
      <c r="C18" s="64" t="s">
        <v>78</v>
      </c>
      <c r="D18" s="65">
        <v>4185.2969999999996</v>
      </c>
      <c r="E18" s="65">
        <v>18998.504000000001</v>
      </c>
      <c r="F18" s="65">
        <v>6145.2898042700008</v>
      </c>
      <c r="G18" s="102">
        <v>4.5393441619394626</v>
      </c>
      <c r="H18" s="65">
        <v>1468.3</v>
      </c>
      <c r="I18" s="65">
        <v>323.45999999999998</v>
      </c>
      <c r="J18" s="66" t="s">
        <v>94</v>
      </c>
      <c r="K18" s="237"/>
      <c r="L18" s="28"/>
      <c r="M18" s="28"/>
      <c r="N18" s="28"/>
    </row>
    <row r="19" spans="2:14" ht="18" customHeight="1" x14ac:dyDescent="0.35">
      <c r="B19" s="234"/>
      <c r="C19" s="64" t="s">
        <v>79</v>
      </c>
      <c r="D19" s="65">
        <v>5398.56</v>
      </c>
      <c r="E19" s="65">
        <v>23105.432000000001</v>
      </c>
      <c r="F19" s="65">
        <v>7546.4299968699997</v>
      </c>
      <c r="G19" s="102">
        <v>4.2799250597122489</v>
      </c>
      <c r="H19" s="65">
        <v>1397.86</v>
      </c>
      <c r="I19" s="65">
        <v>326.61</v>
      </c>
      <c r="J19" s="66" t="s">
        <v>95</v>
      </c>
      <c r="K19" s="237"/>
      <c r="L19" s="28"/>
      <c r="M19" s="28"/>
      <c r="N19" s="28"/>
    </row>
    <row r="20" spans="2:14" ht="18" customHeight="1" x14ac:dyDescent="0.35">
      <c r="B20" s="234"/>
      <c r="C20" s="64" t="s">
        <v>80</v>
      </c>
      <c r="D20" s="65">
        <v>6712.7510000000002</v>
      </c>
      <c r="E20" s="65">
        <v>31474.733</v>
      </c>
      <c r="F20" s="65">
        <v>11018.35393567</v>
      </c>
      <c r="G20" s="65">
        <v>4.6887979767136905</v>
      </c>
      <c r="H20" s="65">
        <v>1641.41</v>
      </c>
      <c r="I20" s="65">
        <v>350.07</v>
      </c>
      <c r="J20" s="66" t="s">
        <v>96</v>
      </c>
      <c r="K20" s="237"/>
      <c r="L20" s="28"/>
      <c r="M20" s="28"/>
      <c r="N20" s="28"/>
    </row>
    <row r="21" spans="2:14" ht="18" customHeight="1" x14ac:dyDescent="0.35">
      <c r="B21" s="235"/>
      <c r="C21" s="96" t="s">
        <v>81</v>
      </c>
      <c r="D21" s="65">
        <v>4493.5460000000003</v>
      </c>
      <c r="E21" s="65">
        <v>21018.083999999999</v>
      </c>
      <c r="F21" s="65">
        <v>6938.8537816799999</v>
      </c>
      <c r="G21" s="65">
        <v>4.6773938509762294</v>
      </c>
      <c r="H21" s="65">
        <v>1544.18</v>
      </c>
      <c r="I21" s="65">
        <v>330.14</v>
      </c>
      <c r="J21" s="97" t="s">
        <v>97</v>
      </c>
      <c r="K21" s="238"/>
      <c r="L21" s="28"/>
      <c r="M21" s="28"/>
      <c r="N21" s="28"/>
    </row>
    <row r="22" spans="2:14" ht="18" customHeight="1" x14ac:dyDescent="0.35">
      <c r="B22" s="282" t="s">
        <v>85</v>
      </c>
      <c r="C22" s="283"/>
      <c r="D22" s="69">
        <v>63833.898000000001</v>
      </c>
      <c r="E22" s="69">
        <v>353331.20299999998</v>
      </c>
      <c r="F22" s="69">
        <v>102184.11302261001</v>
      </c>
      <c r="G22" s="103">
        <v>5.5351657114952673</v>
      </c>
      <c r="H22" s="69">
        <v>1600.78</v>
      </c>
      <c r="I22" s="69">
        <v>289.2</v>
      </c>
      <c r="J22" s="284" t="s">
        <v>98</v>
      </c>
      <c r="K22" s="285"/>
      <c r="L22" s="104"/>
      <c r="M22" s="104"/>
      <c r="N22" s="104"/>
    </row>
    <row r="23" spans="2:14" x14ac:dyDescent="0.35">
      <c r="B23" s="233">
        <v>2022</v>
      </c>
      <c r="C23" s="64" t="s">
        <v>70</v>
      </c>
      <c r="D23" s="65">
        <v>7675.16</v>
      </c>
      <c r="E23" s="65">
        <v>34353.370999999999</v>
      </c>
      <c r="F23" s="65">
        <v>11355.00835301</v>
      </c>
      <c r="G23" s="102">
        <v>4.4759159442202572</v>
      </c>
      <c r="H23" s="65">
        <v>1479.45</v>
      </c>
      <c r="I23" s="65">
        <v>330.54</v>
      </c>
      <c r="J23" s="66" t="s">
        <v>86</v>
      </c>
      <c r="K23" s="236">
        <v>2022</v>
      </c>
    </row>
    <row r="24" spans="2:14" x14ac:dyDescent="0.35">
      <c r="B24" s="234"/>
      <c r="C24" s="64" t="s">
        <v>71</v>
      </c>
      <c r="D24" s="65">
        <v>6449.9380000000001</v>
      </c>
      <c r="E24" s="65">
        <v>28567.286</v>
      </c>
      <c r="F24" s="65">
        <v>9133.5162738600011</v>
      </c>
      <c r="G24" s="102">
        <v>4.4290792086578818</v>
      </c>
      <c r="H24" s="65">
        <v>1416.06</v>
      </c>
      <c r="I24" s="65">
        <v>319.72000000000003</v>
      </c>
      <c r="J24" s="66" t="s">
        <v>87</v>
      </c>
      <c r="K24" s="237"/>
    </row>
    <row r="25" spans="2:14" x14ac:dyDescent="0.35">
      <c r="B25" s="234"/>
      <c r="C25" s="64" t="s">
        <v>72</v>
      </c>
      <c r="D25" s="65">
        <v>6204.7550000000001</v>
      </c>
      <c r="E25" s="65">
        <v>28204.451000000001</v>
      </c>
      <c r="F25" s="65">
        <v>8295.6208057299991</v>
      </c>
      <c r="G25" s="102">
        <v>4.5456188571879412</v>
      </c>
      <c r="H25" s="65">
        <v>1336.98</v>
      </c>
      <c r="I25" s="65">
        <v>294.12</v>
      </c>
      <c r="J25" s="66" t="s">
        <v>88</v>
      </c>
      <c r="K25" s="237"/>
    </row>
    <row r="26" spans="2:14" x14ac:dyDescent="0.35">
      <c r="B26" s="234"/>
      <c r="C26" s="64" t="s">
        <v>73</v>
      </c>
      <c r="D26" s="65">
        <v>8036.1310000000003</v>
      </c>
      <c r="E26" s="65">
        <v>40267.752</v>
      </c>
      <c r="F26" s="65">
        <v>10114.61694201</v>
      </c>
      <c r="G26" s="102">
        <v>5.0108381530685744</v>
      </c>
      <c r="H26" s="65">
        <v>1258.6400000000001</v>
      </c>
      <c r="I26" s="65">
        <v>251.18</v>
      </c>
      <c r="J26" s="66" t="s">
        <v>89</v>
      </c>
      <c r="K26" s="237"/>
    </row>
    <row r="27" spans="2:14" x14ac:dyDescent="0.35">
      <c r="B27" s="234"/>
      <c r="C27" s="64" t="s">
        <v>74</v>
      </c>
      <c r="D27" s="65">
        <v>7246.1090000000004</v>
      </c>
      <c r="E27" s="65">
        <v>31569.091</v>
      </c>
      <c r="F27" s="65">
        <v>9525.5370836399998</v>
      </c>
      <c r="G27" s="102">
        <v>4.356695520439664</v>
      </c>
      <c r="H27" s="65">
        <v>1314.57</v>
      </c>
      <c r="I27" s="65">
        <v>301.74</v>
      </c>
      <c r="J27" s="66" t="s">
        <v>90</v>
      </c>
      <c r="K27" s="237"/>
    </row>
    <row r="28" spans="2:14" x14ac:dyDescent="0.35">
      <c r="B28" s="234"/>
      <c r="C28" s="64" t="s">
        <v>75</v>
      </c>
      <c r="D28" s="65">
        <v>4032.7869999999998</v>
      </c>
      <c r="E28" s="65">
        <v>18237.188999999998</v>
      </c>
      <c r="F28" s="65">
        <v>6001.1537985300001</v>
      </c>
      <c r="G28" s="102">
        <v>4.5222296467300289</v>
      </c>
      <c r="H28" s="65">
        <v>1488.09</v>
      </c>
      <c r="I28" s="65">
        <v>329.06</v>
      </c>
      <c r="J28" s="66" t="s">
        <v>91</v>
      </c>
      <c r="K28" s="237"/>
    </row>
    <row r="29" spans="2:14" x14ac:dyDescent="0.35">
      <c r="B29" s="234"/>
      <c r="C29" s="64" t="s">
        <v>76</v>
      </c>
      <c r="D29" s="65">
        <v>10795.554</v>
      </c>
      <c r="E29" s="65">
        <v>71350.668999999994</v>
      </c>
      <c r="F29" s="65">
        <v>17656.784140709999</v>
      </c>
      <c r="G29" s="102">
        <v>6.6092642194527293</v>
      </c>
      <c r="H29" s="65">
        <v>1635.56</v>
      </c>
      <c r="I29" s="65">
        <v>247.46</v>
      </c>
      <c r="J29" s="66" t="s">
        <v>92</v>
      </c>
      <c r="K29" s="237"/>
    </row>
    <row r="30" spans="2:14" x14ac:dyDescent="0.35">
      <c r="B30" s="234"/>
      <c r="C30" s="64" t="s">
        <v>77</v>
      </c>
      <c r="D30" s="65">
        <v>7008.4380000000001</v>
      </c>
      <c r="E30" s="65">
        <v>34453.184000000001</v>
      </c>
      <c r="F30" s="65">
        <v>11232.185959930001</v>
      </c>
      <c r="G30" s="102">
        <v>4.9159576562538776</v>
      </c>
      <c r="H30" s="65">
        <v>1602.67</v>
      </c>
      <c r="I30" s="65">
        <v>326.01</v>
      </c>
      <c r="J30" s="66" t="s">
        <v>93</v>
      </c>
      <c r="K30" s="237"/>
    </row>
    <row r="31" spans="2:14" x14ac:dyDescent="0.35">
      <c r="B31" s="234"/>
      <c r="C31" s="64" t="s">
        <v>78</v>
      </c>
      <c r="D31" s="65">
        <v>4196.0389999999998</v>
      </c>
      <c r="E31" s="65">
        <v>16913.878000000001</v>
      </c>
      <c r="F31" s="65">
        <v>5232.2728733999993</v>
      </c>
      <c r="G31" s="102">
        <v>4.0309153426957778</v>
      </c>
      <c r="H31" s="65">
        <v>1246.96</v>
      </c>
      <c r="I31" s="65">
        <v>309.35000000000002</v>
      </c>
      <c r="J31" s="66" t="s">
        <v>94</v>
      </c>
      <c r="K31" s="237"/>
    </row>
    <row r="32" spans="2:14" x14ac:dyDescent="0.35">
      <c r="B32" s="234"/>
      <c r="C32" s="64" t="s">
        <v>79</v>
      </c>
      <c r="D32" s="65">
        <v>4838.1859999999997</v>
      </c>
      <c r="E32" s="65">
        <v>19286.563999999998</v>
      </c>
      <c r="F32" s="65">
        <v>5944.0441526599998</v>
      </c>
      <c r="G32" s="102">
        <v>3.9863213405193916</v>
      </c>
      <c r="H32" s="65">
        <v>1228.57</v>
      </c>
      <c r="I32" s="65">
        <v>308.2</v>
      </c>
      <c r="J32" s="66" t="s">
        <v>95</v>
      </c>
      <c r="K32" s="237"/>
    </row>
    <row r="33" spans="2:11" x14ac:dyDescent="0.35">
      <c r="B33" s="234"/>
      <c r="C33" s="64" t="s">
        <v>80</v>
      </c>
      <c r="D33" s="65">
        <v>7003.1490000000003</v>
      </c>
      <c r="E33" s="65">
        <v>29206.441999999999</v>
      </c>
      <c r="F33" s="65">
        <v>8260.1276346899995</v>
      </c>
      <c r="G33" s="65">
        <v>4.1704727513754571</v>
      </c>
      <c r="H33" s="65">
        <v>1179.49</v>
      </c>
      <c r="I33" s="65">
        <v>282.82</v>
      </c>
      <c r="J33" s="66" t="s">
        <v>96</v>
      </c>
      <c r="K33" s="237"/>
    </row>
    <row r="34" spans="2:11" x14ac:dyDescent="0.35">
      <c r="B34" s="235"/>
      <c r="C34" s="96" t="s">
        <v>81</v>
      </c>
      <c r="D34" s="65">
        <v>4350.2550000000001</v>
      </c>
      <c r="E34" s="65">
        <v>17196.516</v>
      </c>
      <c r="F34" s="65">
        <v>4508.3482464099998</v>
      </c>
      <c r="G34" s="65">
        <v>3.9529902642364938</v>
      </c>
      <c r="H34" s="65">
        <v>1036.3399999999999</v>
      </c>
      <c r="I34" s="65">
        <v>262.17</v>
      </c>
      <c r="J34" s="97" t="s">
        <v>97</v>
      </c>
      <c r="K34" s="238"/>
    </row>
    <row r="35" spans="2:11" x14ac:dyDescent="0.35">
      <c r="B35" s="282" t="s">
        <v>85</v>
      </c>
      <c r="C35" s="283"/>
      <c r="D35" s="69">
        <v>77836.501000000004</v>
      </c>
      <c r="E35" s="69">
        <v>369606.39299999998</v>
      </c>
      <c r="F35" s="69">
        <v>107259.21626458</v>
      </c>
      <c r="G35" s="103">
        <v>4.7484970202308983</v>
      </c>
      <c r="H35" s="69">
        <v>1378.01</v>
      </c>
      <c r="I35" s="69">
        <v>290.2</v>
      </c>
      <c r="J35" s="284" t="s">
        <v>98</v>
      </c>
      <c r="K35" s="285"/>
    </row>
    <row r="36" spans="2:11" x14ac:dyDescent="0.35">
      <c r="B36" s="233">
        <v>2023</v>
      </c>
      <c r="C36" s="64" t="s">
        <v>70</v>
      </c>
      <c r="D36" s="65">
        <v>6293.9560000000001</v>
      </c>
      <c r="E36" s="65">
        <v>34512.713000000003</v>
      </c>
      <c r="F36" s="65">
        <v>8333.3635808999989</v>
      </c>
      <c r="G36" s="102">
        <v>5.4834690614297275</v>
      </c>
      <c r="H36" s="65">
        <v>1324.03</v>
      </c>
      <c r="I36" s="65">
        <v>241.46</v>
      </c>
      <c r="J36" s="66" t="s">
        <v>86</v>
      </c>
      <c r="K36" s="236">
        <v>2023</v>
      </c>
    </row>
    <row r="37" spans="2:11" x14ac:dyDescent="0.35">
      <c r="B37" s="234"/>
      <c r="C37" s="64" t="s">
        <v>71</v>
      </c>
      <c r="D37" s="65">
        <v>5607.6369999999997</v>
      </c>
      <c r="E37" s="65">
        <v>29355.861000000001</v>
      </c>
      <c r="F37" s="65">
        <v>7621.1176498000004</v>
      </c>
      <c r="G37" s="102">
        <v>5.2349788333303318</v>
      </c>
      <c r="H37" s="65">
        <v>1359.06</v>
      </c>
      <c r="I37" s="65">
        <v>259.61</v>
      </c>
      <c r="J37" s="66" t="s">
        <v>87</v>
      </c>
      <c r="K37" s="237"/>
    </row>
    <row r="38" spans="2:11" x14ac:dyDescent="0.35">
      <c r="B38" s="234"/>
      <c r="C38" s="64" t="s">
        <v>72</v>
      </c>
      <c r="D38" s="65">
        <v>6502.1559999999999</v>
      </c>
      <c r="E38" s="65">
        <v>35352.724000000002</v>
      </c>
      <c r="F38" s="65">
        <v>9743.4887421900003</v>
      </c>
      <c r="G38" s="102">
        <v>5.4370771787081082</v>
      </c>
      <c r="H38" s="65">
        <v>1498.5</v>
      </c>
      <c r="I38" s="65">
        <v>275.61</v>
      </c>
      <c r="J38" s="66" t="s">
        <v>88</v>
      </c>
      <c r="K38" s="237"/>
    </row>
    <row r="39" spans="2:11" x14ac:dyDescent="0.35">
      <c r="B39" s="234"/>
      <c r="C39" s="64" t="s">
        <v>73</v>
      </c>
      <c r="D39" s="65">
        <v>6881.2960000000003</v>
      </c>
      <c r="E39" s="65">
        <v>38119.51</v>
      </c>
      <c r="F39" s="65">
        <v>9428.0475361299996</v>
      </c>
      <c r="G39" s="102">
        <v>5.5395829506534815</v>
      </c>
      <c r="H39" s="65">
        <v>1370.1</v>
      </c>
      <c r="I39" s="65">
        <v>247.33</v>
      </c>
      <c r="J39" s="66" t="s">
        <v>89</v>
      </c>
      <c r="K39" s="237"/>
    </row>
    <row r="40" spans="2:11" x14ac:dyDescent="0.35">
      <c r="B40" s="234"/>
      <c r="C40" s="64" t="s">
        <v>74</v>
      </c>
      <c r="D40" s="65">
        <v>5002.991</v>
      </c>
      <c r="E40" s="65">
        <v>27151.760999999999</v>
      </c>
      <c r="F40" s="65">
        <v>6713.5565606299997</v>
      </c>
      <c r="G40" s="102">
        <v>5.4271057053670493</v>
      </c>
      <c r="H40" s="65">
        <v>1341.91</v>
      </c>
      <c r="I40" s="65">
        <v>247.26</v>
      </c>
      <c r="J40" s="66" t="s">
        <v>90</v>
      </c>
      <c r="K40" s="237"/>
    </row>
    <row r="41" spans="2:11" x14ac:dyDescent="0.35">
      <c r="B41" s="234"/>
      <c r="C41" s="64" t="s">
        <v>75</v>
      </c>
      <c r="D41" s="65">
        <v>9547.86</v>
      </c>
      <c r="E41" s="65">
        <v>77842.616999999998</v>
      </c>
      <c r="F41" s="65">
        <v>15411.593215569999</v>
      </c>
      <c r="G41" s="102">
        <v>8.1528863012235195</v>
      </c>
      <c r="H41" s="65">
        <v>1614.14</v>
      </c>
      <c r="I41" s="65">
        <v>197.98</v>
      </c>
      <c r="J41" s="66" t="s">
        <v>91</v>
      </c>
      <c r="K41" s="237"/>
    </row>
    <row r="42" spans="2:11" x14ac:dyDescent="0.35">
      <c r="B42" s="234"/>
      <c r="C42" s="64" t="s">
        <v>76</v>
      </c>
      <c r="D42" s="65">
        <v>8118.2560000000003</v>
      </c>
      <c r="E42" s="65">
        <v>57518.103999999999</v>
      </c>
      <c r="F42" s="65">
        <v>11260.809963489999</v>
      </c>
      <c r="G42" s="102">
        <v>7.0850320561460487</v>
      </c>
      <c r="H42" s="65">
        <v>1387.1</v>
      </c>
      <c r="I42" s="65">
        <v>195.78</v>
      </c>
      <c r="J42" s="66" t="s">
        <v>92</v>
      </c>
      <c r="K42" s="237"/>
    </row>
    <row r="43" spans="2:11" x14ac:dyDescent="0.35">
      <c r="B43" s="234"/>
      <c r="C43" s="64" t="s">
        <v>77</v>
      </c>
      <c r="D43" s="65">
        <v>6985.9480000000003</v>
      </c>
      <c r="E43" s="65">
        <v>37989.517</v>
      </c>
      <c r="F43" s="65">
        <v>8626.7583043300001</v>
      </c>
      <c r="G43" s="102">
        <v>5.4379902341099591</v>
      </c>
      <c r="H43" s="65">
        <v>1234.8699999999999</v>
      </c>
      <c r="I43" s="65">
        <v>227.08</v>
      </c>
      <c r="J43" s="66" t="s">
        <v>93</v>
      </c>
      <c r="K43" s="237"/>
    </row>
    <row r="44" spans="2:11" x14ac:dyDescent="0.35">
      <c r="B44" s="234"/>
      <c r="C44" s="64" t="s">
        <v>78</v>
      </c>
      <c r="D44" s="65">
        <v>6073.8270000000002</v>
      </c>
      <c r="E44" s="65">
        <v>34493.627999999997</v>
      </c>
      <c r="F44" s="65">
        <v>8308.88530876</v>
      </c>
      <c r="G44" s="102">
        <v>5.6790600061542751</v>
      </c>
      <c r="H44" s="65">
        <v>1367.98</v>
      </c>
      <c r="I44" s="65">
        <v>240.88</v>
      </c>
      <c r="J44" s="66" t="s">
        <v>94</v>
      </c>
      <c r="K44" s="237"/>
    </row>
    <row r="45" spans="2:11" x14ac:dyDescent="0.35">
      <c r="B45" s="234"/>
      <c r="C45" s="64" t="s">
        <v>79</v>
      </c>
      <c r="D45" s="65">
        <v>6202.0190000000002</v>
      </c>
      <c r="E45" s="65">
        <v>39443.451999999997</v>
      </c>
      <c r="F45" s="65">
        <v>9069.9099253200002</v>
      </c>
      <c r="G45" s="102">
        <v>6.359776066471257</v>
      </c>
      <c r="H45" s="65">
        <v>1462.41</v>
      </c>
      <c r="I45" s="65">
        <v>229.95</v>
      </c>
      <c r="J45" s="66" t="s">
        <v>95</v>
      </c>
      <c r="K45" s="237"/>
    </row>
    <row r="46" spans="2:11" x14ac:dyDescent="0.35">
      <c r="B46" s="234"/>
      <c r="C46" s="64" t="s">
        <v>80</v>
      </c>
      <c r="D46" s="65">
        <v>8220.3269999999993</v>
      </c>
      <c r="E46" s="65">
        <v>49168.161</v>
      </c>
      <c r="F46" s="65">
        <v>10769.21652609</v>
      </c>
      <c r="G46" s="65">
        <v>5.9812901603549351</v>
      </c>
      <c r="H46" s="65">
        <v>1310.07</v>
      </c>
      <c r="I46" s="65">
        <v>219.03</v>
      </c>
      <c r="J46" s="66" t="s">
        <v>96</v>
      </c>
      <c r="K46" s="237"/>
    </row>
    <row r="47" spans="2:11" x14ac:dyDescent="0.35">
      <c r="B47" s="235"/>
      <c r="C47" s="96" t="s">
        <v>81</v>
      </c>
      <c r="D47" s="65">
        <v>6484.0889999999999</v>
      </c>
      <c r="E47" s="65">
        <v>34393.135999999999</v>
      </c>
      <c r="F47" s="65">
        <v>9119.9862370900009</v>
      </c>
      <c r="G47" s="65">
        <v>5.3042356451307189</v>
      </c>
      <c r="H47" s="65">
        <v>1406.52</v>
      </c>
      <c r="I47" s="65">
        <v>265.17</v>
      </c>
      <c r="J47" s="97" t="s">
        <v>97</v>
      </c>
      <c r="K47" s="238"/>
    </row>
    <row r="48" spans="2:11" x14ac:dyDescent="0.35">
      <c r="B48" s="282" t="s">
        <v>85</v>
      </c>
      <c r="C48" s="283"/>
      <c r="D48" s="69">
        <v>81920.361999999994</v>
      </c>
      <c r="E48" s="69">
        <v>495341.18400000001</v>
      </c>
      <c r="F48" s="69">
        <v>114406.73355030001</v>
      </c>
      <c r="G48" s="103">
        <v>6.0466185928231129</v>
      </c>
      <c r="H48" s="69">
        <v>1396.56</v>
      </c>
      <c r="I48" s="69">
        <v>230.97</v>
      </c>
      <c r="J48" s="284" t="s">
        <v>98</v>
      </c>
      <c r="K48" s="285"/>
    </row>
    <row r="49" spans="2:11" x14ac:dyDescent="0.35">
      <c r="B49" s="233">
        <v>2024</v>
      </c>
      <c r="C49" s="64" t="s">
        <v>70</v>
      </c>
      <c r="D49" s="65">
        <v>7780.3649999999998</v>
      </c>
      <c r="E49" s="65">
        <v>41292.063999999998</v>
      </c>
      <c r="F49" s="65">
        <v>10040.421327530001</v>
      </c>
      <c r="G49" s="102">
        <v>5.31</v>
      </c>
      <c r="H49" s="65">
        <v>1290.48</v>
      </c>
      <c r="I49" s="65">
        <v>243.16</v>
      </c>
      <c r="J49" s="66" t="s">
        <v>86</v>
      </c>
      <c r="K49" s="236">
        <v>2024</v>
      </c>
    </row>
    <row r="50" spans="2:11" x14ac:dyDescent="0.35">
      <c r="B50" s="234"/>
      <c r="C50" s="64" t="s">
        <v>71</v>
      </c>
      <c r="D50" s="65">
        <v>7742.7020000000002</v>
      </c>
      <c r="E50" s="65">
        <v>40587.635999999999</v>
      </c>
      <c r="F50" s="65">
        <v>10181.943697379998</v>
      </c>
      <c r="G50" s="102">
        <v>5.24</v>
      </c>
      <c r="H50" s="65">
        <v>1315.04</v>
      </c>
      <c r="I50" s="65">
        <v>250.86</v>
      </c>
      <c r="J50" s="66" t="s">
        <v>87</v>
      </c>
      <c r="K50" s="237"/>
    </row>
    <row r="51" spans="2:11" x14ac:dyDescent="0.35">
      <c r="B51" s="234"/>
      <c r="C51" s="64" t="s">
        <v>72</v>
      </c>
      <c r="D51" s="65">
        <v>6802.5789999999997</v>
      </c>
      <c r="E51" s="65">
        <v>44765.249000000003</v>
      </c>
      <c r="F51" s="65">
        <v>10058.96577742</v>
      </c>
      <c r="G51" s="102">
        <v>6.58</v>
      </c>
      <c r="H51" s="65">
        <v>1478.7</v>
      </c>
      <c r="I51" s="65">
        <v>224.7</v>
      </c>
      <c r="J51" s="66" t="s">
        <v>88</v>
      </c>
      <c r="K51" s="237"/>
    </row>
    <row r="52" spans="2:11" x14ac:dyDescent="0.35">
      <c r="B52" s="234"/>
      <c r="C52" s="64" t="s">
        <v>73</v>
      </c>
      <c r="D52" s="65">
        <v>7200.402</v>
      </c>
      <c r="E52" s="65">
        <v>41380.913</v>
      </c>
      <c r="F52" s="65">
        <v>8353.8376678100012</v>
      </c>
      <c r="G52" s="102">
        <v>5.75</v>
      </c>
      <c r="H52" s="65">
        <v>1160.19</v>
      </c>
      <c r="I52" s="65">
        <v>201.88</v>
      </c>
      <c r="J52" s="66" t="s">
        <v>89</v>
      </c>
      <c r="K52" s="237"/>
    </row>
    <row r="53" spans="2:11" x14ac:dyDescent="0.35">
      <c r="B53" s="234"/>
      <c r="C53" s="64" t="s">
        <v>74</v>
      </c>
      <c r="D53" s="65">
        <v>5975.9979999999996</v>
      </c>
      <c r="E53" s="65">
        <v>33300.627999999997</v>
      </c>
      <c r="F53" s="65">
        <v>7793.87387158</v>
      </c>
      <c r="G53" s="102">
        <v>5.57</v>
      </c>
      <c r="H53" s="65">
        <v>1304.2</v>
      </c>
      <c r="I53" s="65">
        <v>234.05</v>
      </c>
      <c r="J53" s="66" t="s">
        <v>90</v>
      </c>
      <c r="K53" s="237"/>
    </row>
    <row r="54" spans="2:11" x14ac:dyDescent="0.35">
      <c r="B54" s="234"/>
      <c r="C54" s="64" t="s">
        <v>75</v>
      </c>
      <c r="D54" s="65">
        <v>9613.1090000000004</v>
      </c>
      <c r="E54" s="65">
        <v>101339.80899999999</v>
      </c>
      <c r="F54" s="65">
        <v>14938.258169659999</v>
      </c>
      <c r="G54" s="102">
        <v>10.54</v>
      </c>
      <c r="H54" s="65">
        <v>1553.95</v>
      </c>
      <c r="I54" s="65">
        <v>147.41</v>
      </c>
      <c r="J54" s="66" t="s">
        <v>91</v>
      </c>
      <c r="K54" s="237"/>
    </row>
    <row r="55" spans="2:11" x14ac:dyDescent="0.35">
      <c r="B55" s="234"/>
      <c r="C55" s="64" t="s">
        <v>76</v>
      </c>
      <c r="D55" s="65">
        <v>8062.8620000000001</v>
      </c>
      <c r="E55" s="65">
        <v>51037.516000000003</v>
      </c>
      <c r="F55" s="65">
        <v>9633.5430282600009</v>
      </c>
      <c r="G55" s="102">
        <v>6.33</v>
      </c>
      <c r="H55" s="65">
        <v>1194.8</v>
      </c>
      <c r="I55" s="65">
        <v>188.75</v>
      </c>
      <c r="J55" s="66" t="s">
        <v>92</v>
      </c>
      <c r="K55" s="237"/>
    </row>
    <row r="56" spans="2:11" x14ac:dyDescent="0.35">
      <c r="B56" s="234"/>
      <c r="C56" s="64" t="s">
        <v>77</v>
      </c>
      <c r="D56" s="65">
        <v>6447.9629999999997</v>
      </c>
      <c r="E56" s="65">
        <v>35903.972999999998</v>
      </c>
      <c r="F56" s="65">
        <v>8703.6215322400003</v>
      </c>
      <c r="G56" s="102">
        <v>5.57</v>
      </c>
      <c r="H56" s="65">
        <v>1349.82</v>
      </c>
      <c r="I56" s="65">
        <v>242.41</v>
      </c>
      <c r="J56" s="66" t="s">
        <v>93</v>
      </c>
      <c r="K56" s="237"/>
    </row>
    <row r="57" spans="2:11" x14ac:dyDescent="0.35">
      <c r="B57" s="234"/>
      <c r="C57" s="64" t="s">
        <v>78</v>
      </c>
      <c r="D57" s="65">
        <v>5907.4669999999996</v>
      </c>
      <c r="E57" s="65">
        <v>33423.550999999999</v>
      </c>
      <c r="F57" s="65">
        <v>8173.9933123199999</v>
      </c>
      <c r="G57" s="102">
        <v>5.66</v>
      </c>
      <c r="H57" s="65">
        <v>1383.67</v>
      </c>
      <c r="I57" s="65">
        <v>244.56</v>
      </c>
      <c r="J57" s="66" t="s">
        <v>94</v>
      </c>
      <c r="K57" s="237"/>
    </row>
    <row r="58" spans="2:11" x14ac:dyDescent="0.35">
      <c r="B58" s="234"/>
      <c r="C58" s="64" t="s">
        <v>79</v>
      </c>
      <c r="D58" s="65">
        <v>5793.7650000000003</v>
      </c>
      <c r="E58" s="65">
        <v>30939.337</v>
      </c>
      <c r="F58" s="65">
        <v>8300.4355675099996</v>
      </c>
      <c r="G58" s="102">
        <v>5.34</v>
      </c>
      <c r="H58" s="65">
        <v>1432.65</v>
      </c>
      <c r="I58" s="65">
        <v>268.27999999999997</v>
      </c>
      <c r="J58" s="66" t="s">
        <v>95</v>
      </c>
      <c r="K58" s="237"/>
    </row>
    <row r="59" spans="2:11" x14ac:dyDescent="0.35">
      <c r="B59" s="234"/>
      <c r="C59" s="64" t="s">
        <v>80</v>
      </c>
      <c r="D59" s="65">
        <v>7906.7259999999997</v>
      </c>
      <c r="E59" s="65">
        <v>44552.212</v>
      </c>
      <c r="F59" s="65">
        <v>10285.928985299999</v>
      </c>
      <c r="G59" s="65">
        <v>5.63</v>
      </c>
      <c r="H59" s="65">
        <v>1300.9100000000001</v>
      </c>
      <c r="I59" s="65">
        <v>230.87</v>
      </c>
      <c r="J59" s="66" t="s">
        <v>96</v>
      </c>
      <c r="K59" s="237"/>
    </row>
    <row r="60" spans="2:11" x14ac:dyDescent="0.35">
      <c r="B60" s="235"/>
      <c r="C60" s="96" t="s">
        <v>81</v>
      </c>
      <c r="D60" s="65">
        <v>6923.4210000000003</v>
      </c>
      <c r="E60" s="65">
        <v>40094.665000000001</v>
      </c>
      <c r="F60" s="65">
        <v>8810.9530837099992</v>
      </c>
      <c r="G60" s="65">
        <v>5.79</v>
      </c>
      <c r="H60" s="65">
        <v>1272.6300000000001</v>
      </c>
      <c r="I60" s="65">
        <v>219.75</v>
      </c>
      <c r="J60" s="97" t="s">
        <v>97</v>
      </c>
      <c r="K60" s="238"/>
    </row>
    <row r="61" spans="2:11" x14ac:dyDescent="0.35">
      <c r="B61" s="282" t="s">
        <v>85</v>
      </c>
      <c r="C61" s="283"/>
      <c r="D61" s="69">
        <v>86157.358999999997</v>
      </c>
      <c r="E61" s="69">
        <v>538617.55299999996</v>
      </c>
      <c r="F61" s="69">
        <v>115275.77602072</v>
      </c>
      <c r="G61" s="103">
        <v>6.25</v>
      </c>
      <c r="H61" s="69">
        <v>1337.97</v>
      </c>
      <c r="I61" s="69">
        <v>214.02</v>
      </c>
      <c r="J61" s="284" t="s">
        <v>98</v>
      </c>
      <c r="K61" s="285"/>
    </row>
    <row r="62" spans="2:11" x14ac:dyDescent="0.35">
      <c r="B62" s="233">
        <v>2025</v>
      </c>
      <c r="C62" s="64" t="s">
        <v>70</v>
      </c>
      <c r="D62" s="65">
        <v>8376.8150000000005</v>
      </c>
      <c r="E62" s="65">
        <v>46148.197</v>
      </c>
      <c r="F62" s="65">
        <v>10594.462917069999</v>
      </c>
      <c r="G62" s="102">
        <v>5.51</v>
      </c>
      <c r="H62" s="65">
        <v>1264.74</v>
      </c>
      <c r="I62" s="65">
        <v>229.57</v>
      </c>
      <c r="J62" s="66" t="s">
        <v>86</v>
      </c>
      <c r="K62" s="236">
        <v>2025</v>
      </c>
    </row>
    <row r="63" spans="2:11" x14ac:dyDescent="0.35">
      <c r="B63" s="234"/>
      <c r="C63" s="64" t="s">
        <v>71</v>
      </c>
      <c r="D63" s="65">
        <v>7186.6</v>
      </c>
      <c r="E63" s="65">
        <v>39681.629000000001</v>
      </c>
      <c r="F63" s="65">
        <v>8367.1375055999997</v>
      </c>
      <c r="G63" s="102">
        <v>5.52</v>
      </c>
      <c r="H63" s="65">
        <v>1164.27</v>
      </c>
      <c r="I63" s="65">
        <v>210.86</v>
      </c>
      <c r="J63" s="66" t="s">
        <v>87</v>
      </c>
      <c r="K63" s="237"/>
    </row>
    <row r="64" spans="2:11" x14ac:dyDescent="0.35">
      <c r="B64" s="234"/>
      <c r="C64" s="64" t="s">
        <v>72</v>
      </c>
      <c r="D64" s="65">
        <v>9291.3649999999998</v>
      </c>
      <c r="E64" s="65">
        <v>62952.366000000002</v>
      </c>
      <c r="F64" s="65">
        <v>13311.86074459</v>
      </c>
      <c r="G64" s="102">
        <v>6.78</v>
      </c>
      <c r="H64" s="65">
        <v>1432.71</v>
      </c>
      <c r="I64" s="65">
        <v>211.46</v>
      </c>
      <c r="J64" s="66" t="s">
        <v>88</v>
      </c>
      <c r="K64" s="237"/>
    </row>
    <row r="65" spans="2:11" x14ac:dyDescent="0.35">
      <c r="B65" s="234"/>
      <c r="C65" s="64" t="s">
        <v>73</v>
      </c>
      <c r="D65" s="65">
        <v>6565.741</v>
      </c>
      <c r="E65" s="65">
        <v>37526.07</v>
      </c>
      <c r="F65" s="65">
        <v>8599.1947645</v>
      </c>
      <c r="G65" s="102">
        <v>5.72</v>
      </c>
      <c r="H65" s="65">
        <v>1309.71</v>
      </c>
      <c r="I65" s="65">
        <v>229.15</v>
      </c>
      <c r="J65" s="66" t="s">
        <v>89</v>
      </c>
      <c r="K65" s="237"/>
    </row>
    <row r="66" spans="2:11" x14ac:dyDescent="0.35">
      <c r="B66" s="234"/>
      <c r="C66" s="64" t="s">
        <v>74</v>
      </c>
      <c r="D66" s="65">
        <v>7333.3339999999998</v>
      </c>
      <c r="E66" s="65">
        <v>46563.091</v>
      </c>
      <c r="F66" s="65">
        <v>11498.37830649</v>
      </c>
      <c r="G66" s="102">
        <v>6.35</v>
      </c>
      <c r="H66" s="65">
        <v>1567.96</v>
      </c>
      <c r="I66" s="65">
        <v>246.94</v>
      </c>
      <c r="J66" s="66" t="s">
        <v>90</v>
      </c>
      <c r="K66" s="237"/>
    </row>
    <row r="67" spans="2:11" x14ac:dyDescent="0.35">
      <c r="B67" s="234"/>
      <c r="C67" s="64" t="s">
        <v>75</v>
      </c>
      <c r="D67" s="65">
        <v>7786.9</v>
      </c>
      <c r="E67" s="65">
        <v>59455.847000000002</v>
      </c>
      <c r="F67" s="65">
        <v>14632.17724092</v>
      </c>
      <c r="G67" s="102">
        <v>7.64</v>
      </c>
      <c r="H67" s="65">
        <v>1879.08</v>
      </c>
      <c r="I67" s="65">
        <v>246.1</v>
      </c>
      <c r="J67" s="66" t="s">
        <v>91</v>
      </c>
      <c r="K67" s="237"/>
    </row>
    <row r="68" spans="2:11" x14ac:dyDescent="0.35">
      <c r="B68" s="234"/>
      <c r="C68" s="64" t="s">
        <v>76</v>
      </c>
      <c r="D68" s="65">
        <v>8693.5210000000006</v>
      </c>
      <c r="E68" s="65">
        <v>64004.498</v>
      </c>
      <c r="F68" s="65">
        <v>15419.760375940001</v>
      </c>
      <c r="G68" s="102">
        <v>7.36</v>
      </c>
      <c r="H68" s="65">
        <v>1773.71</v>
      </c>
      <c r="I68" s="65">
        <v>240.92</v>
      </c>
      <c r="J68" s="66" t="s">
        <v>92</v>
      </c>
      <c r="K68" s="237"/>
    </row>
    <row r="69" spans="2:11" x14ac:dyDescent="0.35">
      <c r="B69" s="234"/>
      <c r="C69" s="64" t="s">
        <v>77</v>
      </c>
      <c r="D69" s="65">
        <v>8184.915</v>
      </c>
      <c r="E69" s="65">
        <v>46621.298000000003</v>
      </c>
      <c r="F69" s="65">
        <v>10265.94463541</v>
      </c>
      <c r="G69" s="102">
        <v>5.7</v>
      </c>
      <c r="H69" s="65">
        <v>1254.25</v>
      </c>
      <c r="I69" s="65">
        <v>220.2</v>
      </c>
      <c r="J69" s="66" t="s">
        <v>93</v>
      </c>
      <c r="K69" s="237"/>
    </row>
    <row r="70" spans="2:11" x14ac:dyDescent="0.35">
      <c r="B70" s="234"/>
      <c r="C70" s="64" t="s">
        <v>78</v>
      </c>
      <c r="D70" s="65">
        <v>6512.9359999999997</v>
      </c>
      <c r="E70" s="65">
        <v>35221.851000000002</v>
      </c>
      <c r="F70" s="65">
        <v>8224.2889864999997</v>
      </c>
      <c r="G70" s="102">
        <v>5.41</v>
      </c>
      <c r="H70" s="65">
        <v>1262.76</v>
      </c>
      <c r="I70" s="65">
        <v>233.5</v>
      </c>
      <c r="J70" s="66" t="s">
        <v>94</v>
      </c>
      <c r="K70" s="237"/>
    </row>
    <row r="71" spans="2:11" x14ac:dyDescent="0.35">
      <c r="B71" s="234"/>
      <c r="C71" s="64" t="s">
        <v>79</v>
      </c>
      <c r="D71" s="65">
        <v>7361.3649999999998</v>
      </c>
      <c r="E71" s="65">
        <v>37698.28</v>
      </c>
      <c r="F71" s="65">
        <v>8667.9171276699999</v>
      </c>
      <c r="G71" s="102">
        <v>5.12</v>
      </c>
      <c r="H71" s="65">
        <v>1177.49</v>
      </c>
      <c r="I71" s="65">
        <v>229.93</v>
      </c>
      <c r="J71" s="66" t="s">
        <v>95</v>
      </c>
      <c r="K71" s="237"/>
    </row>
    <row r="72" spans="2:11" x14ac:dyDescent="0.35">
      <c r="B72" s="234"/>
      <c r="C72" s="64" t="s">
        <v>80</v>
      </c>
      <c r="D72" s="65">
        <v>8635.7950000000001</v>
      </c>
      <c r="E72" s="65">
        <v>49009.872000000003</v>
      </c>
      <c r="F72" s="65">
        <v>9423.2917150400008</v>
      </c>
      <c r="G72" s="65">
        <v>5.68</v>
      </c>
      <c r="H72" s="65">
        <v>1091.19</v>
      </c>
      <c r="I72" s="65">
        <v>192.27</v>
      </c>
      <c r="J72" s="66" t="s">
        <v>96</v>
      </c>
      <c r="K72" s="237"/>
    </row>
    <row r="73" spans="2:11" x14ac:dyDescent="0.35">
      <c r="B73" s="235"/>
      <c r="C73" s="96" t="s">
        <v>81</v>
      </c>
      <c r="D73" s="65">
        <v>7394.2259999999997</v>
      </c>
      <c r="E73" s="65">
        <v>39185.463000000003</v>
      </c>
      <c r="F73" s="65">
        <v>8072.1263077700005</v>
      </c>
      <c r="G73" s="65">
        <v>5.3</v>
      </c>
      <c r="H73" s="65">
        <v>1091.68</v>
      </c>
      <c r="I73" s="65">
        <v>206</v>
      </c>
      <c r="J73" s="97" t="s">
        <v>97</v>
      </c>
      <c r="K73" s="238"/>
    </row>
    <row r="74" spans="2:11" x14ac:dyDescent="0.35">
      <c r="B74" s="282" t="s">
        <v>85</v>
      </c>
      <c r="C74" s="283"/>
      <c r="D74" s="69">
        <v>93323.513000000006</v>
      </c>
      <c r="E74" s="69">
        <v>564068.46200000006</v>
      </c>
      <c r="F74" s="69">
        <v>127076.5406275</v>
      </c>
      <c r="G74" s="103">
        <v>6.04</v>
      </c>
      <c r="H74" s="69">
        <v>1361.68</v>
      </c>
      <c r="I74" s="69">
        <v>225.29</v>
      </c>
      <c r="J74" s="284" t="s">
        <v>98</v>
      </c>
      <c r="K74" s="285"/>
    </row>
  </sheetData>
  <mergeCells count="23">
    <mergeCell ref="B62:B73"/>
    <mergeCell ref="K62:K73"/>
    <mergeCell ref="B74:C74"/>
    <mergeCell ref="J74:K74"/>
    <mergeCell ref="F3:K3"/>
    <mergeCell ref="A3:E3"/>
    <mergeCell ref="B49:B60"/>
    <mergeCell ref="K49:K60"/>
    <mergeCell ref="B61:C61"/>
    <mergeCell ref="J61:K61"/>
    <mergeCell ref="B36:B47"/>
    <mergeCell ref="K36:K47"/>
    <mergeCell ref="B48:C48"/>
    <mergeCell ref="J48:K48"/>
    <mergeCell ref="A2:E2"/>
    <mergeCell ref="B35:C35"/>
    <mergeCell ref="J35:K35"/>
    <mergeCell ref="B10:B21"/>
    <mergeCell ref="K10:K21"/>
    <mergeCell ref="B22:C22"/>
    <mergeCell ref="J22:K22"/>
    <mergeCell ref="B23:B34"/>
    <mergeCell ref="K23:K34"/>
  </mergeCells>
  <phoneticPr fontId="1" type="noConversion"/>
  <pageMargins left="0.7" right="0.7" top="0.75" bottom="0.75" header="0.3" footer="0.3"/>
  <pageSetup orientation="portrait" r:id="rId1"/>
  <headerFooter>
    <oddFooter>&amp;C&amp;1#&amp;"Calibri"&amp;11&amp;Kffa500CONFIDENTIAL▮▮مقيّد</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N73"/>
  <sheetViews>
    <sheetView showGridLines="0" topLeftCell="A36" zoomScale="80" zoomScaleNormal="80" workbookViewId="0">
      <selection activeCell="D61" sqref="D61:I73"/>
    </sheetView>
  </sheetViews>
  <sheetFormatPr defaultColWidth="8.81640625" defaultRowHeight="14.5" x14ac:dyDescent="0.35"/>
  <cols>
    <col min="3" max="5" width="17.81640625" bestFit="1" customWidth="1"/>
    <col min="6" max="6" width="18.54296875" customWidth="1"/>
    <col min="7" max="7" width="21.453125" customWidth="1"/>
    <col min="8" max="8" width="22.453125" bestFit="1" customWidth="1"/>
    <col min="9" max="9" width="21.453125" customWidth="1"/>
    <col min="10" max="10" width="17.81640625" bestFit="1" customWidth="1"/>
    <col min="12" max="12" width="17.54296875" customWidth="1"/>
    <col min="13" max="13" width="18.54296875" customWidth="1"/>
    <col min="14" max="18" width="17.54296875" customWidth="1"/>
    <col min="22" max="22" width="10.1796875" bestFit="1" customWidth="1"/>
  </cols>
  <sheetData>
    <row r="1" spans="1:14" x14ac:dyDescent="0.35">
      <c r="A1" s="9" t="s">
        <v>524</v>
      </c>
    </row>
    <row r="2" spans="1:14" x14ac:dyDescent="0.35">
      <c r="A2" s="232" t="s">
        <v>448</v>
      </c>
      <c r="B2" s="232"/>
      <c r="C2" s="232"/>
      <c r="D2" s="232"/>
      <c r="E2" s="232"/>
    </row>
    <row r="3" spans="1:14" x14ac:dyDescent="0.35">
      <c r="A3" s="232" t="s">
        <v>449</v>
      </c>
      <c r="B3" s="232"/>
      <c r="C3" s="232"/>
      <c r="D3" s="232"/>
      <c r="E3" s="232"/>
    </row>
    <row r="4" spans="1:14" x14ac:dyDescent="0.35">
      <c r="A4" s="9"/>
      <c r="B4" s="192"/>
      <c r="C4" s="192"/>
      <c r="D4" s="192"/>
      <c r="E4" s="192"/>
    </row>
    <row r="6" spans="1:14" s="15" customFormat="1" ht="18" customHeight="1" x14ac:dyDescent="0.35">
      <c r="A6" s="10" t="s">
        <v>15</v>
      </c>
      <c r="B6" s="30" t="s">
        <v>347</v>
      </c>
      <c r="C6" s="13"/>
      <c r="D6" s="13"/>
      <c r="E6" s="13"/>
      <c r="F6" s="13"/>
      <c r="G6" s="13"/>
      <c r="H6" s="13"/>
      <c r="I6" s="13"/>
      <c r="J6" s="13"/>
      <c r="K6" s="31" t="s">
        <v>337</v>
      </c>
    </row>
    <row r="7" spans="1:14" ht="18" customHeight="1" x14ac:dyDescent="0.35">
      <c r="B7" s="59"/>
      <c r="C7" s="60"/>
      <c r="K7" s="59"/>
    </row>
    <row r="8" spans="1:14" s="59" customFormat="1" ht="43.5" x14ac:dyDescent="0.35">
      <c r="C8" s="61" t="s">
        <v>99</v>
      </c>
      <c r="D8" s="62" t="s">
        <v>326</v>
      </c>
      <c r="E8" s="62" t="s">
        <v>327</v>
      </c>
      <c r="F8" s="62" t="s">
        <v>357</v>
      </c>
      <c r="G8" s="62" t="s">
        <v>113</v>
      </c>
      <c r="H8" s="62" t="s">
        <v>83</v>
      </c>
      <c r="I8" s="62" t="s">
        <v>84</v>
      </c>
      <c r="J8" s="63" t="s">
        <v>100</v>
      </c>
    </row>
    <row r="9" spans="1:14" ht="18" customHeight="1" x14ac:dyDescent="0.35">
      <c r="B9" s="233">
        <v>2021</v>
      </c>
      <c r="C9" s="64" t="s">
        <v>70</v>
      </c>
      <c r="D9" s="65">
        <v>542.29700000000003</v>
      </c>
      <c r="E9" s="65">
        <v>618.93100000000004</v>
      </c>
      <c r="F9" s="65">
        <v>1877.569</v>
      </c>
      <c r="G9" s="65">
        <v>244.41200000000001</v>
      </c>
      <c r="H9" s="65">
        <v>2636.4989999999998</v>
      </c>
      <c r="I9" s="65">
        <v>5919.7079999999996</v>
      </c>
      <c r="J9" s="66" t="s">
        <v>86</v>
      </c>
      <c r="K9" s="236">
        <v>2021</v>
      </c>
    </row>
    <row r="10" spans="1:14" ht="18" customHeight="1" x14ac:dyDescent="0.35">
      <c r="B10" s="234"/>
      <c r="C10" s="64" t="s">
        <v>71</v>
      </c>
      <c r="D10" s="65">
        <v>383.75400000000002</v>
      </c>
      <c r="E10" s="65">
        <v>468.72899999999998</v>
      </c>
      <c r="F10" s="65">
        <v>1201.8209999999999</v>
      </c>
      <c r="G10" s="65">
        <v>205.27600000000001</v>
      </c>
      <c r="H10" s="65">
        <v>2116.3339999999998</v>
      </c>
      <c r="I10" s="65">
        <v>4375.9139999999998</v>
      </c>
      <c r="J10" s="66" t="s">
        <v>87</v>
      </c>
      <c r="K10" s="237"/>
      <c r="M10" s="105" t="s">
        <v>353</v>
      </c>
      <c r="N10" s="72" t="s">
        <v>354</v>
      </c>
    </row>
    <row r="11" spans="1:14" ht="18" customHeight="1" x14ac:dyDescent="0.35">
      <c r="B11" s="234"/>
      <c r="C11" s="64" t="s">
        <v>72</v>
      </c>
      <c r="D11" s="65">
        <v>386.596</v>
      </c>
      <c r="E11" s="65">
        <v>529.28599999999994</v>
      </c>
      <c r="F11" s="65">
        <v>1215.0409999999999</v>
      </c>
      <c r="G11" s="65">
        <v>158.99100000000001</v>
      </c>
      <c r="H11" s="65">
        <v>2118.123</v>
      </c>
      <c r="I11" s="65">
        <v>4408.0370000000003</v>
      </c>
      <c r="J11" s="66" t="s">
        <v>88</v>
      </c>
      <c r="K11" s="237"/>
      <c r="M11" s="72" t="s">
        <v>355</v>
      </c>
      <c r="N11" s="72" t="s">
        <v>356</v>
      </c>
    </row>
    <row r="12" spans="1:14" ht="18" customHeight="1" x14ac:dyDescent="0.35">
      <c r="B12" s="234"/>
      <c r="C12" s="64" t="s">
        <v>73</v>
      </c>
      <c r="D12" s="65">
        <v>538.35500000000002</v>
      </c>
      <c r="E12" s="65">
        <v>516.601</v>
      </c>
      <c r="F12" s="65">
        <v>1193.251</v>
      </c>
      <c r="G12" s="65">
        <v>300.43299999999999</v>
      </c>
      <c r="H12" s="65">
        <v>1882.3630000000001</v>
      </c>
      <c r="I12" s="65">
        <v>4431.0029999999997</v>
      </c>
      <c r="J12" s="66" t="s">
        <v>89</v>
      </c>
      <c r="K12" s="237"/>
    </row>
    <row r="13" spans="1:14" ht="18" customHeight="1" x14ac:dyDescent="0.35">
      <c r="B13" s="234"/>
      <c r="C13" s="64" t="s">
        <v>74</v>
      </c>
      <c r="D13" s="65">
        <v>578.06799999999998</v>
      </c>
      <c r="E13" s="65">
        <v>596.39800000000002</v>
      </c>
      <c r="F13" s="65">
        <v>2127.2020000000002</v>
      </c>
      <c r="G13" s="65">
        <v>232.83500000000001</v>
      </c>
      <c r="H13" s="65">
        <v>3193.4090000000001</v>
      </c>
      <c r="I13" s="65">
        <v>6727.9120000000003</v>
      </c>
      <c r="J13" s="66" t="s">
        <v>90</v>
      </c>
      <c r="K13" s="237"/>
    </row>
    <row r="14" spans="1:14" ht="18" customHeight="1" x14ac:dyDescent="0.35">
      <c r="B14" s="234"/>
      <c r="C14" s="64" t="s">
        <v>75</v>
      </c>
      <c r="D14" s="65">
        <v>294.95600000000002</v>
      </c>
      <c r="E14" s="65">
        <v>426.34399999999999</v>
      </c>
      <c r="F14" s="65">
        <v>1560.7670000000001</v>
      </c>
      <c r="G14" s="65">
        <v>139.19200000000001</v>
      </c>
      <c r="H14" s="65">
        <v>1744.31</v>
      </c>
      <c r="I14" s="65">
        <v>4165.5690000000004</v>
      </c>
      <c r="J14" s="66" t="s">
        <v>91</v>
      </c>
      <c r="K14" s="237"/>
    </row>
    <row r="15" spans="1:14" ht="18" customHeight="1" x14ac:dyDescent="0.35">
      <c r="B15" s="234"/>
      <c r="C15" s="64" t="s">
        <v>76</v>
      </c>
      <c r="D15" s="65">
        <v>490.97300000000001</v>
      </c>
      <c r="E15" s="65">
        <v>358.28300000000002</v>
      </c>
      <c r="F15" s="65">
        <v>2402.6840000000002</v>
      </c>
      <c r="G15" s="65">
        <v>243.232</v>
      </c>
      <c r="H15" s="65">
        <v>4038.1790000000001</v>
      </c>
      <c r="I15" s="65">
        <v>7533.3509999999997</v>
      </c>
      <c r="J15" s="66" t="s">
        <v>92</v>
      </c>
      <c r="K15" s="237"/>
    </row>
    <row r="16" spans="1:14" ht="18" customHeight="1" x14ac:dyDescent="0.35">
      <c r="B16" s="234"/>
      <c r="C16" s="64" t="s">
        <v>77</v>
      </c>
      <c r="D16" s="65">
        <v>388.43900000000002</v>
      </c>
      <c r="E16" s="65">
        <v>464.21100000000001</v>
      </c>
      <c r="F16" s="65">
        <v>2135.567</v>
      </c>
      <c r="G16" s="65">
        <v>225.92</v>
      </c>
      <c r="H16" s="65">
        <v>2268.1129999999998</v>
      </c>
      <c r="I16" s="65">
        <v>5482.25</v>
      </c>
      <c r="J16" s="66" t="s">
        <v>93</v>
      </c>
      <c r="K16" s="237"/>
    </row>
    <row r="17" spans="2:11" ht="18" customHeight="1" x14ac:dyDescent="0.35">
      <c r="B17" s="234"/>
      <c r="C17" s="64" t="s">
        <v>78</v>
      </c>
      <c r="D17" s="65">
        <v>376.88499999999999</v>
      </c>
      <c r="E17" s="65">
        <v>366.517</v>
      </c>
      <c r="F17" s="65">
        <v>1511.375</v>
      </c>
      <c r="G17" s="65">
        <v>133.18299999999999</v>
      </c>
      <c r="H17" s="65">
        <v>1797.337</v>
      </c>
      <c r="I17" s="65">
        <v>4185.2969999999996</v>
      </c>
      <c r="J17" s="66" t="s">
        <v>94</v>
      </c>
      <c r="K17" s="237"/>
    </row>
    <row r="18" spans="2:11" ht="18" customHeight="1" x14ac:dyDescent="0.35">
      <c r="B18" s="234"/>
      <c r="C18" s="64" t="s">
        <v>79</v>
      </c>
      <c r="D18" s="65">
        <v>450.52</v>
      </c>
      <c r="E18" s="65">
        <v>454.70100000000002</v>
      </c>
      <c r="F18" s="65">
        <v>2344.299</v>
      </c>
      <c r="G18" s="65">
        <v>297.92099999999999</v>
      </c>
      <c r="H18" s="65">
        <v>1851.1189999999999</v>
      </c>
      <c r="I18" s="65">
        <v>5398.56</v>
      </c>
      <c r="J18" s="66" t="s">
        <v>95</v>
      </c>
      <c r="K18" s="237"/>
    </row>
    <row r="19" spans="2:11" ht="18" customHeight="1" x14ac:dyDescent="0.35">
      <c r="B19" s="234"/>
      <c r="C19" s="64" t="s">
        <v>80</v>
      </c>
      <c r="D19" s="65">
        <v>586.65599999999995</v>
      </c>
      <c r="E19" s="65">
        <v>420.19900000000001</v>
      </c>
      <c r="F19" s="65">
        <v>2865.9059999999999</v>
      </c>
      <c r="G19" s="65">
        <v>583.69100000000003</v>
      </c>
      <c r="H19" s="65">
        <v>2256.299</v>
      </c>
      <c r="I19" s="65">
        <v>6712.7510000000002</v>
      </c>
      <c r="J19" s="66" t="s">
        <v>96</v>
      </c>
      <c r="K19" s="237"/>
    </row>
    <row r="20" spans="2:11" ht="18" customHeight="1" x14ac:dyDescent="0.35">
      <c r="B20" s="235"/>
      <c r="C20" s="96" t="s">
        <v>81</v>
      </c>
      <c r="D20" s="65">
        <v>441.72500000000002</v>
      </c>
      <c r="E20" s="65">
        <v>209.99</v>
      </c>
      <c r="F20" s="65">
        <v>1931.288</v>
      </c>
      <c r="G20" s="65">
        <v>210.16200000000001</v>
      </c>
      <c r="H20" s="65">
        <v>1700.3810000000001</v>
      </c>
      <c r="I20" s="65">
        <v>4493.5460000000003</v>
      </c>
      <c r="J20" s="97" t="s">
        <v>97</v>
      </c>
      <c r="K20" s="238"/>
    </row>
    <row r="21" spans="2:11" ht="18" customHeight="1" x14ac:dyDescent="0.35">
      <c r="B21" s="282" t="s">
        <v>85</v>
      </c>
      <c r="C21" s="283"/>
      <c r="D21" s="69">
        <v>5459.2240000000002</v>
      </c>
      <c r="E21" s="69">
        <v>5430.19</v>
      </c>
      <c r="F21" s="69">
        <v>22366.77</v>
      </c>
      <c r="G21" s="69">
        <v>2975.248</v>
      </c>
      <c r="H21" s="69">
        <v>27602.466</v>
      </c>
      <c r="I21" s="69">
        <v>63833.898000000001</v>
      </c>
      <c r="J21" s="284" t="s">
        <v>98</v>
      </c>
      <c r="K21" s="285"/>
    </row>
    <row r="22" spans="2:11" x14ac:dyDescent="0.35">
      <c r="B22" s="233">
        <v>2022</v>
      </c>
      <c r="C22" s="64" t="s">
        <v>70</v>
      </c>
      <c r="D22" s="65">
        <v>596.25199999999995</v>
      </c>
      <c r="E22" s="65">
        <v>341.92599999999999</v>
      </c>
      <c r="F22" s="65">
        <v>2867.998</v>
      </c>
      <c r="G22" s="65">
        <v>317.82799999999997</v>
      </c>
      <c r="H22" s="65">
        <v>3551.1559999999999</v>
      </c>
      <c r="I22" s="65">
        <v>7675.16</v>
      </c>
      <c r="J22" s="66" t="s">
        <v>86</v>
      </c>
      <c r="K22" s="236">
        <v>2022</v>
      </c>
    </row>
    <row r="23" spans="2:11" x14ac:dyDescent="0.35">
      <c r="B23" s="234"/>
      <c r="C23" s="64" t="s">
        <v>71</v>
      </c>
      <c r="D23" s="65">
        <v>586.60799999999995</v>
      </c>
      <c r="E23" s="65">
        <v>273.14600000000002</v>
      </c>
      <c r="F23" s="65">
        <v>2417.2829999999999</v>
      </c>
      <c r="G23" s="65">
        <v>336.15699999999998</v>
      </c>
      <c r="H23" s="65">
        <v>2836.7440000000001</v>
      </c>
      <c r="I23" s="65">
        <v>6449.9380000000001</v>
      </c>
      <c r="J23" s="66" t="s">
        <v>87</v>
      </c>
      <c r="K23" s="237"/>
    </row>
    <row r="24" spans="2:11" x14ac:dyDescent="0.35">
      <c r="B24" s="234"/>
      <c r="C24" s="64" t="s">
        <v>72</v>
      </c>
      <c r="D24" s="65">
        <v>549.49800000000005</v>
      </c>
      <c r="E24" s="65">
        <v>282.899</v>
      </c>
      <c r="F24" s="65">
        <v>2180.2469999999998</v>
      </c>
      <c r="G24" s="65">
        <v>312.69099999999997</v>
      </c>
      <c r="H24" s="65">
        <v>2879.42</v>
      </c>
      <c r="I24" s="65">
        <v>6204.7550000000001</v>
      </c>
      <c r="J24" s="66" t="s">
        <v>88</v>
      </c>
      <c r="K24" s="237"/>
    </row>
    <row r="25" spans="2:11" x14ac:dyDescent="0.35">
      <c r="B25" s="234"/>
      <c r="C25" s="64" t="s">
        <v>73</v>
      </c>
      <c r="D25" s="65">
        <v>1469.4059999999999</v>
      </c>
      <c r="E25" s="65">
        <v>277.93200000000002</v>
      </c>
      <c r="F25" s="65">
        <v>2115.4299999999998</v>
      </c>
      <c r="G25" s="65">
        <v>273.517</v>
      </c>
      <c r="H25" s="65">
        <v>3899.846</v>
      </c>
      <c r="I25" s="65">
        <v>8036.1310000000003</v>
      </c>
      <c r="J25" s="66" t="s">
        <v>89</v>
      </c>
      <c r="K25" s="237"/>
    </row>
    <row r="26" spans="2:11" x14ac:dyDescent="0.35">
      <c r="B26" s="234"/>
      <c r="C26" s="64" t="s">
        <v>74</v>
      </c>
      <c r="D26" s="65">
        <v>589.89800000000002</v>
      </c>
      <c r="E26" s="65">
        <v>371.79</v>
      </c>
      <c r="F26" s="65">
        <v>2717.7150000000001</v>
      </c>
      <c r="G26" s="65">
        <v>299.00799999999998</v>
      </c>
      <c r="H26" s="65">
        <v>3267.6979999999999</v>
      </c>
      <c r="I26" s="65">
        <v>7246.1090000000004</v>
      </c>
      <c r="J26" s="66" t="s">
        <v>90</v>
      </c>
      <c r="K26" s="237"/>
    </row>
    <row r="27" spans="2:11" x14ac:dyDescent="0.35">
      <c r="B27" s="234"/>
      <c r="C27" s="64" t="s">
        <v>75</v>
      </c>
      <c r="D27" s="65">
        <v>281.89800000000002</v>
      </c>
      <c r="E27" s="65">
        <v>248.02</v>
      </c>
      <c r="F27" s="65">
        <v>1716.806</v>
      </c>
      <c r="G27" s="65">
        <v>214.37899999999999</v>
      </c>
      <c r="H27" s="65">
        <v>1571.684</v>
      </c>
      <c r="I27" s="65">
        <v>4032.7869999999998</v>
      </c>
      <c r="J27" s="66" t="s">
        <v>91</v>
      </c>
      <c r="K27" s="237"/>
    </row>
    <row r="28" spans="2:11" x14ac:dyDescent="0.35">
      <c r="B28" s="234"/>
      <c r="C28" s="64" t="s">
        <v>76</v>
      </c>
      <c r="D28" s="65">
        <v>948.31799999999998</v>
      </c>
      <c r="E28" s="65">
        <v>499.95600000000002</v>
      </c>
      <c r="F28" s="65">
        <v>3713.087</v>
      </c>
      <c r="G28" s="65">
        <v>371.209</v>
      </c>
      <c r="H28" s="65">
        <v>5262.9840000000004</v>
      </c>
      <c r="I28" s="65">
        <v>10795.554</v>
      </c>
      <c r="J28" s="66" t="s">
        <v>92</v>
      </c>
      <c r="K28" s="237"/>
    </row>
    <row r="29" spans="2:11" x14ac:dyDescent="0.35">
      <c r="B29" s="234"/>
      <c r="C29" s="64" t="s">
        <v>77</v>
      </c>
      <c r="D29" s="65">
        <v>758.36400000000003</v>
      </c>
      <c r="E29" s="65">
        <v>534.95100000000002</v>
      </c>
      <c r="F29" s="65">
        <v>2776.1509999999998</v>
      </c>
      <c r="G29" s="65">
        <v>307.26</v>
      </c>
      <c r="H29" s="65">
        <v>2631.712</v>
      </c>
      <c r="I29" s="65">
        <v>7008.4380000000001</v>
      </c>
      <c r="J29" s="66" t="s">
        <v>93</v>
      </c>
      <c r="K29" s="237"/>
    </row>
    <row r="30" spans="2:11" x14ac:dyDescent="0.35">
      <c r="B30" s="234"/>
      <c r="C30" s="64" t="s">
        <v>78</v>
      </c>
      <c r="D30" s="65">
        <v>500.22699999999998</v>
      </c>
      <c r="E30" s="65">
        <v>298.64400000000001</v>
      </c>
      <c r="F30" s="65">
        <v>1862.4469999999999</v>
      </c>
      <c r="G30" s="65">
        <v>223.55600000000001</v>
      </c>
      <c r="H30" s="65">
        <v>1311.165</v>
      </c>
      <c r="I30" s="65">
        <v>4196.0389999999998</v>
      </c>
      <c r="J30" s="66" t="s">
        <v>94</v>
      </c>
      <c r="K30" s="237"/>
    </row>
    <row r="31" spans="2:11" x14ac:dyDescent="0.35">
      <c r="B31" s="234"/>
      <c r="C31" s="64" t="s">
        <v>79</v>
      </c>
      <c r="D31" s="65">
        <v>488.166</v>
      </c>
      <c r="E31" s="65">
        <v>432.19499999999999</v>
      </c>
      <c r="F31" s="65">
        <v>2233.0549999999998</v>
      </c>
      <c r="G31" s="65">
        <v>307.887</v>
      </c>
      <c r="H31" s="65">
        <v>1376.883</v>
      </c>
      <c r="I31" s="65">
        <v>4838.1859999999997</v>
      </c>
      <c r="J31" s="66" t="s">
        <v>95</v>
      </c>
      <c r="K31" s="237"/>
    </row>
    <row r="32" spans="2:11" x14ac:dyDescent="0.35">
      <c r="B32" s="234"/>
      <c r="C32" s="64" t="s">
        <v>80</v>
      </c>
      <c r="D32" s="65">
        <v>749.83399999999995</v>
      </c>
      <c r="E32" s="65">
        <v>510.60199999999998</v>
      </c>
      <c r="F32" s="65">
        <v>3283.884</v>
      </c>
      <c r="G32" s="65">
        <v>464.46699999999998</v>
      </c>
      <c r="H32" s="65">
        <v>1994.3620000000001</v>
      </c>
      <c r="I32" s="65">
        <v>7003.1490000000003</v>
      </c>
      <c r="J32" s="66" t="s">
        <v>96</v>
      </c>
      <c r="K32" s="237"/>
    </row>
    <row r="33" spans="2:11" x14ac:dyDescent="0.35">
      <c r="B33" s="235"/>
      <c r="C33" s="96" t="s">
        <v>81</v>
      </c>
      <c r="D33" s="65">
        <v>495.142</v>
      </c>
      <c r="E33" s="65">
        <v>432.887</v>
      </c>
      <c r="F33" s="65">
        <v>1978.806</v>
      </c>
      <c r="G33" s="65">
        <v>211.58799999999999</v>
      </c>
      <c r="H33" s="65">
        <v>1231.8320000000001</v>
      </c>
      <c r="I33" s="65">
        <v>4350.2550000000001</v>
      </c>
      <c r="J33" s="97" t="s">
        <v>97</v>
      </c>
      <c r="K33" s="238"/>
    </row>
    <row r="34" spans="2:11" x14ac:dyDescent="0.35">
      <c r="B34" s="282" t="s">
        <v>85</v>
      </c>
      <c r="C34" s="283"/>
      <c r="D34" s="69">
        <v>8013.6109999999999</v>
      </c>
      <c r="E34" s="69">
        <v>4504.9480000000003</v>
      </c>
      <c r="F34" s="69">
        <v>29862.909</v>
      </c>
      <c r="G34" s="69">
        <v>3639.547</v>
      </c>
      <c r="H34" s="69">
        <v>31815.486000000001</v>
      </c>
      <c r="I34" s="69">
        <v>77836.501000000004</v>
      </c>
      <c r="J34" s="284" t="s">
        <v>98</v>
      </c>
      <c r="K34" s="285"/>
    </row>
    <row r="35" spans="2:11" x14ac:dyDescent="0.35">
      <c r="B35" s="233">
        <v>2023</v>
      </c>
      <c r="C35" s="64" t="s">
        <v>70</v>
      </c>
      <c r="D35" s="65">
        <v>658.471</v>
      </c>
      <c r="E35" s="65">
        <v>536.52800000000002</v>
      </c>
      <c r="F35" s="65">
        <v>3085.674</v>
      </c>
      <c r="G35" s="65">
        <v>273.94600000000003</v>
      </c>
      <c r="H35" s="65">
        <v>1739.337</v>
      </c>
      <c r="I35" s="65">
        <v>6293.9560000000001</v>
      </c>
      <c r="J35" s="66" t="s">
        <v>86</v>
      </c>
      <c r="K35" s="236">
        <v>2023</v>
      </c>
    </row>
    <row r="36" spans="2:11" x14ac:dyDescent="0.35">
      <c r="B36" s="234"/>
      <c r="C36" s="64" t="s">
        <v>71</v>
      </c>
      <c r="D36" s="65">
        <v>635.66099999999994</v>
      </c>
      <c r="E36" s="65">
        <v>546.173</v>
      </c>
      <c r="F36" s="65">
        <v>2619.2280000000001</v>
      </c>
      <c r="G36" s="65">
        <v>218.04900000000001</v>
      </c>
      <c r="H36" s="65">
        <v>1588.5260000000001</v>
      </c>
      <c r="I36" s="65">
        <v>5607.6369999999997</v>
      </c>
      <c r="J36" s="66" t="s">
        <v>87</v>
      </c>
      <c r="K36" s="237"/>
    </row>
    <row r="37" spans="2:11" x14ac:dyDescent="0.35">
      <c r="B37" s="234"/>
      <c r="C37" s="64" t="s">
        <v>72</v>
      </c>
      <c r="D37" s="65">
        <v>996.11599999999999</v>
      </c>
      <c r="E37" s="65">
        <v>633.28200000000004</v>
      </c>
      <c r="F37" s="65">
        <v>2604.5940000000001</v>
      </c>
      <c r="G37" s="65">
        <v>311.26499999999999</v>
      </c>
      <c r="H37" s="65">
        <v>1956.8989999999999</v>
      </c>
      <c r="I37" s="65">
        <v>6502.1559999999999</v>
      </c>
      <c r="J37" s="66" t="s">
        <v>88</v>
      </c>
      <c r="K37" s="237"/>
    </row>
    <row r="38" spans="2:11" x14ac:dyDescent="0.35">
      <c r="B38" s="234"/>
      <c r="C38" s="64" t="s">
        <v>73</v>
      </c>
      <c r="D38" s="65">
        <v>1132.8710000000001</v>
      </c>
      <c r="E38" s="65">
        <v>613.42700000000002</v>
      </c>
      <c r="F38" s="65">
        <v>2522.5619999999999</v>
      </c>
      <c r="G38" s="65">
        <v>258.53800000000001</v>
      </c>
      <c r="H38" s="65">
        <v>2353.8980000000001</v>
      </c>
      <c r="I38" s="65">
        <v>6881.2960000000003</v>
      </c>
      <c r="J38" s="66" t="s">
        <v>89</v>
      </c>
      <c r="K38" s="237"/>
    </row>
    <row r="39" spans="2:11" x14ac:dyDescent="0.35">
      <c r="B39" s="234"/>
      <c r="C39" s="64" t="s">
        <v>74</v>
      </c>
      <c r="D39" s="65">
        <v>525.65700000000004</v>
      </c>
      <c r="E39" s="65">
        <v>536.11800000000005</v>
      </c>
      <c r="F39" s="65">
        <v>2245.7109999999998</v>
      </c>
      <c r="G39" s="65">
        <v>299.63499999999999</v>
      </c>
      <c r="H39" s="65">
        <v>1395.87</v>
      </c>
      <c r="I39" s="65">
        <v>5002.991</v>
      </c>
      <c r="J39" s="66" t="s">
        <v>90</v>
      </c>
      <c r="K39" s="237"/>
    </row>
    <row r="40" spans="2:11" x14ac:dyDescent="0.35">
      <c r="B40" s="234"/>
      <c r="C40" s="64" t="s">
        <v>75</v>
      </c>
      <c r="D40" s="65">
        <v>1234.789</v>
      </c>
      <c r="E40" s="65">
        <v>785.58199999999999</v>
      </c>
      <c r="F40" s="65">
        <v>3886.558</v>
      </c>
      <c r="G40" s="65">
        <v>389.35500000000002</v>
      </c>
      <c r="H40" s="65">
        <v>3251.576</v>
      </c>
      <c r="I40" s="65">
        <v>9547.86</v>
      </c>
      <c r="J40" s="66" t="s">
        <v>91</v>
      </c>
      <c r="K40" s="237"/>
    </row>
    <row r="41" spans="2:11" x14ac:dyDescent="0.35">
      <c r="B41" s="234"/>
      <c r="C41" s="64" t="s">
        <v>76</v>
      </c>
      <c r="D41" s="65">
        <v>752.53099999999995</v>
      </c>
      <c r="E41" s="65">
        <v>729.04300000000001</v>
      </c>
      <c r="F41" s="65">
        <v>3688.683</v>
      </c>
      <c r="G41" s="65">
        <v>516.74800000000005</v>
      </c>
      <c r="H41" s="65">
        <v>2431.2510000000002</v>
      </c>
      <c r="I41" s="65">
        <v>8118.2560000000003</v>
      </c>
      <c r="J41" s="66" t="s">
        <v>92</v>
      </c>
      <c r="K41" s="237"/>
    </row>
    <row r="42" spans="2:11" x14ac:dyDescent="0.35">
      <c r="B42" s="234"/>
      <c r="C42" s="64" t="s">
        <v>77</v>
      </c>
      <c r="D42" s="65">
        <v>837.24199999999996</v>
      </c>
      <c r="E42" s="65">
        <v>800.17600000000004</v>
      </c>
      <c r="F42" s="65">
        <v>2836.306</v>
      </c>
      <c r="G42" s="65">
        <v>338.709</v>
      </c>
      <c r="H42" s="65">
        <v>2173.5149999999999</v>
      </c>
      <c r="I42" s="65">
        <v>6985.9480000000003</v>
      </c>
      <c r="J42" s="66" t="s">
        <v>93</v>
      </c>
      <c r="K42" s="237"/>
    </row>
    <row r="43" spans="2:11" x14ac:dyDescent="0.35">
      <c r="B43" s="234"/>
      <c r="C43" s="64" t="s">
        <v>78</v>
      </c>
      <c r="D43" s="65">
        <v>689.51400000000001</v>
      </c>
      <c r="E43" s="65">
        <v>666.92700000000002</v>
      </c>
      <c r="F43" s="65">
        <v>2472.8690000000001</v>
      </c>
      <c r="G43" s="65">
        <v>342.45100000000002</v>
      </c>
      <c r="H43" s="65">
        <v>1902.066</v>
      </c>
      <c r="I43" s="65">
        <v>6073.8270000000002</v>
      </c>
      <c r="J43" s="66" t="s">
        <v>94</v>
      </c>
      <c r="K43" s="237"/>
    </row>
    <row r="44" spans="2:11" x14ac:dyDescent="0.35">
      <c r="B44" s="234"/>
      <c r="C44" s="64" t="s">
        <v>79</v>
      </c>
      <c r="D44" s="65">
        <v>707.38400000000001</v>
      </c>
      <c r="E44" s="65">
        <v>834.83799999999997</v>
      </c>
      <c r="F44" s="65">
        <v>2417.181</v>
      </c>
      <c r="G44" s="65">
        <v>288.85899999999998</v>
      </c>
      <c r="H44" s="65">
        <v>1953.7570000000001</v>
      </c>
      <c r="I44" s="65">
        <v>6202.0190000000002</v>
      </c>
      <c r="J44" s="66" t="s">
        <v>95</v>
      </c>
      <c r="K44" s="237"/>
    </row>
    <row r="45" spans="2:11" x14ac:dyDescent="0.35">
      <c r="B45" s="234"/>
      <c r="C45" s="64" t="s">
        <v>80</v>
      </c>
      <c r="D45" s="65">
        <v>996.97900000000004</v>
      </c>
      <c r="E45" s="65">
        <v>793.10199999999998</v>
      </c>
      <c r="F45" s="65">
        <v>3584.7460000000001</v>
      </c>
      <c r="G45" s="65">
        <v>308.27499999999998</v>
      </c>
      <c r="H45" s="65">
        <v>2537.2249999999999</v>
      </c>
      <c r="I45" s="65">
        <v>8220.3269999999993</v>
      </c>
      <c r="J45" s="66" t="s">
        <v>96</v>
      </c>
      <c r="K45" s="237"/>
    </row>
    <row r="46" spans="2:11" x14ac:dyDescent="0.35">
      <c r="B46" s="235"/>
      <c r="C46" s="96" t="s">
        <v>81</v>
      </c>
      <c r="D46" s="65">
        <v>758.08399999999995</v>
      </c>
      <c r="E46" s="65">
        <v>719.79499999999996</v>
      </c>
      <c r="F46" s="65">
        <v>3046.3560000000002</v>
      </c>
      <c r="G46" s="65">
        <v>210.857</v>
      </c>
      <c r="H46" s="65">
        <v>1748.9970000000001</v>
      </c>
      <c r="I46" s="65">
        <v>6484.0889999999999</v>
      </c>
      <c r="J46" s="97" t="s">
        <v>97</v>
      </c>
      <c r="K46" s="238"/>
    </row>
    <row r="47" spans="2:11" x14ac:dyDescent="0.35">
      <c r="B47" s="282" t="s">
        <v>85</v>
      </c>
      <c r="C47" s="283"/>
      <c r="D47" s="69">
        <v>9925.2990000000009</v>
      </c>
      <c r="E47" s="69">
        <v>8194.991</v>
      </c>
      <c r="F47" s="69">
        <v>35010.468000000001</v>
      </c>
      <c r="G47" s="69">
        <v>3756.6869999999999</v>
      </c>
      <c r="H47" s="69">
        <v>25032.917000000001</v>
      </c>
      <c r="I47" s="69">
        <v>81920.361999999994</v>
      </c>
      <c r="J47" s="284" t="s">
        <v>98</v>
      </c>
      <c r="K47" s="285"/>
    </row>
    <row r="48" spans="2:11" x14ac:dyDescent="0.35">
      <c r="B48" s="233">
        <v>2024</v>
      </c>
      <c r="C48" s="64" t="s">
        <v>70</v>
      </c>
      <c r="D48" s="65">
        <v>1003.006</v>
      </c>
      <c r="E48" s="65">
        <v>771.35299999999995</v>
      </c>
      <c r="F48" s="65">
        <v>3379.9140000000002</v>
      </c>
      <c r="G48" s="65">
        <v>284.238</v>
      </c>
      <c r="H48" s="65">
        <v>2341.8539999999998</v>
      </c>
      <c r="I48" s="65">
        <v>7780.3649999999998</v>
      </c>
      <c r="J48" s="66" t="s">
        <v>86</v>
      </c>
      <c r="K48" s="236">
        <v>2024</v>
      </c>
    </row>
    <row r="49" spans="2:11" x14ac:dyDescent="0.35">
      <c r="B49" s="234"/>
      <c r="C49" s="64" t="s">
        <v>71</v>
      </c>
      <c r="D49" s="65">
        <v>948.94500000000005</v>
      </c>
      <c r="E49" s="65">
        <v>665.14800000000002</v>
      </c>
      <c r="F49" s="65">
        <v>3434.89</v>
      </c>
      <c r="G49" s="65">
        <v>296.48599999999999</v>
      </c>
      <c r="H49" s="65">
        <v>2397.2330000000002</v>
      </c>
      <c r="I49" s="65">
        <v>7742.7020000000002</v>
      </c>
      <c r="J49" s="66" t="s">
        <v>87</v>
      </c>
      <c r="K49" s="237"/>
    </row>
    <row r="50" spans="2:11" x14ac:dyDescent="0.35">
      <c r="B50" s="234"/>
      <c r="C50" s="64" t="s">
        <v>72</v>
      </c>
      <c r="D50" s="65">
        <v>1567.4739999999999</v>
      </c>
      <c r="E50" s="65">
        <v>562.05499999999995</v>
      </c>
      <c r="F50" s="65">
        <v>2169.0100000000002</v>
      </c>
      <c r="G50" s="65">
        <v>266.71199999999999</v>
      </c>
      <c r="H50" s="65">
        <v>2237.328</v>
      </c>
      <c r="I50" s="65">
        <v>6802.5789999999997</v>
      </c>
      <c r="J50" s="66" t="s">
        <v>88</v>
      </c>
      <c r="K50" s="237"/>
    </row>
    <row r="51" spans="2:11" x14ac:dyDescent="0.35">
      <c r="B51" s="234"/>
      <c r="C51" s="64" t="s">
        <v>73</v>
      </c>
      <c r="D51" s="65">
        <v>1070.9929999999999</v>
      </c>
      <c r="E51" s="65">
        <v>624.15300000000002</v>
      </c>
      <c r="F51" s="65">
        <v>2599.8420000000001</v>
      </c>
      <c r="G51" s="65">
        <v>230.72300000000001</v>
      </c>
      <c r="H51" s="65">
        <v>2674.6909999999998</v>
      </c>
      <c r="I51" s="65">
        <v>7200.402</v>
      </c>
      <c r="J51" s="66" t="s">
        <v>89</v>
      </c>
      <c r="K51" s="237"/>
    </row>
    <row r="52" spans="2:11" x14ac:dyDescent="0.35">
      <c r="B52" s="234"/>
      <c r="C52" s="64" t="s">
        <v>74</v>
      </c>
      <c r="D52" s="65">
        <v>559.94399999999996</v>
      </c>
      <c r="E52" s="65">
        <v>754.346</v>
      </c>
      <c r="F52" s="65">
        <v>2119.5030000000002</v>
      </c>
      <c r="G52" s="65">
        <v>336.55</v>
      </c>
      <c r="H52" s="65">
        <v>2205.6550000000002</v>
      </c>
      <c r="I52" s="65">
        <v>5975.9979999999996</v>
      </c>
      <c r="J52" s="66" t="s">
        <v>90</v>
      </c>
      <c r="K52" s="237"/>
    </row>
    <row r="53" spans="2:11" x14ac:dyDescent="0.35">
      <c r="B53" s="234"/>
      <c r="C53" s="64" t="s">
        <v>75</v>
      </c>
      <c r="D53" s="65">
        <v>1125.3979999999999</v>
      </c>
      <c r="E53" s="65">
        <v>852.67399999999998</v>
      </c>
      <c r="F53" s="65">
        <v>3301.2190000000001</v>
      </c>
      <c r="G53" s="65">
        <v>264.55200000000002</v>
      </c>
      <c r="H53" s="65">
        <v>4069.2660000000001</v>
      </c>
      <c r="I53" s="65">
        <v>9613.1090000000004</v>
      </c>
      <c r="J53" s="66" t="s">
        <v>91</v>
      </c>
      <c r="K53" s="237"/>
    </row>
    <row r="54" spans="2:11" x14ac:dyDescent="0.35">
      <c r="B54" s="234"/>
      <c r="C54" s="64" t="s">
        <v>76</v>
      </c>
      <c r="D54" s="65">
        <v>938.10500000000002</v>
      </c>
      <c r="E54" s="65">
        <v>737.24300000000005</v>
      </c>
      <c r="F54" s="65">
        <v>3388.26</v>
      </c>
      <c r="G54" s="65">
        <v>253.58699999999999</v>
      </c>
      <c r="H54" s="65">
        <v>2745.6669999999999</v>
      </c>
      <c r="I54" s="65">
        <v>8062.8620000000001</v>
      </c>
      <c r="J54" s="66" t="s">
        <v>92</v>
      </c>
      <c r="K54" s="237"/>
    </row>
    <row r="55" spans="2:11" x14ac:dyDescent="0.35">
      <c r="B55" s="234"/>
      <c r="C55" s="64" t="s">
        <v>77</v>
      </c>
      <c r="D55" s="65">
        <v>812.59900000000005</v>
      </c>
      <c r="E55" s="65">
        <v>711.11699999999996</v>
      </c>
      <c r="F55" s="65">
        <v>2479.6570000000002</v>
      </c>
      <c r="G55" s="65">
        <v>335.21499999999997</v>
      </c>
      <c r="H55" s="65">
        <v>2109.375</v>
      </c>
      <c r="I55" s="65">
        <v>6447.9629999999997</v>
      </c>
      <c r="J55" s="66" t="s">
        <v>93</v>
      </c>
      <c r="K55" s="237"/>
    </row>
    <row r="56" spans="2:11" x14ac:dyDescent="0.35">
      <c r="B56" s="234"/>
      <c r="C56" s="64" t="s">
        <v>78</v>
      </c>
      <c r="D56" s="65">
        <v>673.91700000000003</v>
      </c>
      <c r="E56" s="65">
        <v>761.80399999999997</v>
      </c>
      <c r="F56" s="65">
        <v>1983.221</v>
      </c>
      <c r="G56" s="65">
        <v>327.505</v>
      </c>
      <c r="H56" s="65">
        <v>2161.02</v>
      </c>
      <c r="I56" s="65">
        <v>5907.4669999999996</v>
      </c>
      <c r="J56" s="66" t="s">
        <v>94</v>
      </c>
      <c r="K56" s="237"/>
    </row>
    <row r="57" spans="2:11" x14ac:dyDescent="0.35">
      <c r="B57" s="234"/>
      <c r="C57" s="64" t="s">
        <v>79</v>
      </c>
      <c r="D57" s="65">
        <v>763.59699999999998</v>
      </c>
      <c r="E57" s="65">
        <v>806.06700000000001</v>
      </c>
      <c r="F57" s="65">
        <v>2048.431</v>
      </c>
      <c r="G57" s="65">
        <v>276.57299999999998</v>
      </c>
      <c r="H57" s="65">
        <v>1899.097</v>
      </c>
      <c r="I57" s="65">
        <v>5793.7650000000003</v>
      </c>
      <c r="J57" s="66" t="s">
        <v>95</v>
      </c>
      <c r="K57" s="237"/>
    </row>
    <row r="58" spans="2:11" x14ac:dyDescent="0.35">
      <c r="B58" s="234"/>
      <c r="C58" s="64" t="s">
        <v>80</v>
      </c>
      <c r="D58" s="65">
        <v>1042.9159999999999</v>
      </c>
      <c r="E58" s="65">
        <v>850.85199999999998</v>
      </c>
      <c r="F58" s="65">
        <v>2871.8409999999999</v>
      </c>
      <c r="G58" s="65">
        <v>240.905</v>
      </c>
      <c r="H58" s="65">
        <v>2900.212</v>
      </c>
      <c r="I58" s="65">
        <v>7906.7259999999997</v>
      </c>
      <c r="J58" s="66" t="s">
        <v>96</v>
      </c>
      <c r="K58" s="237"/>
    </row>
    <row r="59" spans="2:11" x14ac:dyDescent="0.35">
      <c r="B59" s="235"/>
      <c r="C59" s="96" t="s">
        <v>81</v>
      </c>
      <c r="D59" s="65">
        <v>910.19299999999998</v>
      </c>
      <c r="E59" s="65">
        <v>835.86500000000001</v>
      </c>
      <c r="F59" s="65">
        <v>2520.6930000000002</v>
      </c>
      <c r="G59" s="65">
        <v>301.226</v>
      </c>
      <c r="H59" s="65">
        <v>2355.444</v>
      </c>
      <c r="I59" s="65">
        <v>6923.4210000000003</v>
      </c>
      <c r="J59" s="97" t="s">
        <v>97</v>
      </c>
      <c r="K59" s="238"/>
    </row>
    <row r="60" spans="2:11" x14ac:dyDescent="0.35">
      <c r="B60" s="282" t="s">
        <v>85</v>
      </c>
      <c r="C60" s="283"/>
      <c r="D60" s="69">
        <v>11417.087</v>
      </c>
      <c r="E60" s="69">
        <v>8932.6769999999997</v>
      </c>
      <c r="F60" s="69">
        <v>32296.481</v>
      </c>
      <c r="G60" s="69">
        <v>3414.2719999999999</v>
      </c>
      <c r="H60" s="69">
        <v>30096.842000000001</v>
      </c>
      <c r="I60" s="69">
        <v>86157.358999999997</v>
      </c>
      <c r="J60" s="284" t="s">
        <v>98</v>
      </c>
      <c r="K60" s="285"/>
    </row>
    <row r="61" spans="2:11" x14ac:dyDescent="0.35">
      <c r="B61" s="233">
        <v>2025</v>
      </c>
      <c r="C61" s="64" t="s">
        <v>70</v>
      </c>
      <c r="D61" s="65">
        <v>1205.3009999999999</v>
      </c>
      <c r="E61" s="65">
        <v>633.21799999999996</v>
      </c>
      <c r="F61" s="65">
        <v>2952.7579999999998</v>
      </c>
      <c r="G61" s="65">
        <v>246.71</v>
      </c>
      <c r="H61" s="65">
        <v>3338.828</v>
      </c>
      <c r="I61" s="65">
        <v>8376.8150000000005</v>
      </c>
      <c r="J61" s="66" t="s">
        <v>86</v>
      </c>
      <c r="K61" s="236">
        <v>2025</v>
      </c>
    </row>
    <row r="62" spans="2:11" x14ac:dyDescent="0.35">
      <c r="B62" s="234"/>
      <c r="C62" s="64" t="s">
        <v>71</v>
      </c>
      <c r="D62" s="65">
        <v>991.82899999999995</v>
      </c>
      <c r="E62" s="65">
        <v>742.86599999999999</v>
      </c>
      <c r="F62" s="65">
        <v>2355.3270000000002</v>
      </c>
      <c r="G62" s="65">
        <v>252.99</v>
      </c>
      <c r="H62" s="65">
        <v>2843.5880000000002</v>
      </c>
      <c r="I62" s="65">
        <v>7186.6</v>
      </c>
      <c r="J62" s="66" t="s">
        <v>87</v>
      </c>
      <c r="K62" s="237"/>
    </row>
    <row r="63" spans="2:11" x14ac:dyDescent="0.35">
      <c r="B63" s="234"/>
      <c r="C63" s="64" t="s">
        <v>72</v>
      </c>
      <c r="D63" s="65">
        <v>3313.703</v>
      </c>
      <c r="E63" s="65">
        <v>402.94600000000003</v>
      </c>
      <c r="F63" s="65">
        <v>1600.0419999999999</v>
      </c>
      <c r="G63" s="65">
        <v>169.874</v>
      </c>
      <c r="H63" s="65">
        <v>3804.8</v>
      </c>
      <c r="I63" s="65">
        <v>9291.3649999999998</v>
      </c>
      <c r="J63" s="66" t="s">
        <v>88</v>
      </c>
      <c r="K63" s="237"/>
    </row>
    <row r="64" spans="2:11" x14ac:dyDescent="0.35">
      <c r="B64" s="234"/>
      <c r="C64" s="64" t="s">
        <v>73</v>
      </c>
      <c r="D64" s="65">
        <v>693.56700000000001</v>
      </c>
      <c r="E64" s="65">
        <v>566.63400000000001</v>
      </c>
      <c r="F64" s="65">
        <v>2330.357</v>
      </c>
      <c r="G64" s="65">
        <v>249.40700000000001</v>
      </c>
      <c r="H64" s="65">
        <v>2725.7759999999998</v>
      </c>
      <c r="I64" s="65">
        <v>6565.741</v>
      </c>
      <c r="J64" s="66" t="s">
        <v>89</v>
      </c>
      <c r="K64" s="237"/>
    </row>
    <row r="65" spans="2:11" x14ac:dyDescent="0.35">
      <c r="B65" s="234"/>
      <c r="C65" s="64" t="s">
        <v>74</v>
      </c>
      <c r="D65" s="65">
        <v>612.95899999999995</v>
      </c>
      <c r="E65" s="65">
        <v>927.15300000000002</v>
      </c>
      <c r="F65" s="65">
        <v>2518.48</v>
      </c>
      <c r="G65" s="65">
        <v>281.67599999999999</v>
      </c>
      <c r="H65" s="65">
        <v>2993.0659999999998</v>
      </c>
      <c r="I65" s="65">
        <v>7333.3339999999998</v>
      </c>
      <c r="J65" s="66" t="s">
        <v>90</v>
      </c>
      <c r="K65" s="237"/>
    </row>
    <row r="66" spans="2:11" x14ac:dyDescent="0.35">
      <c r="B66" s="234"/>
      <c r="C66" s="64" t="s">
        <v>75</v>
      </c>
      <c r="D66" s="65">
        <v>928.36300000000006</v>
      </c>
      <c r="E66" s="65">
        <v>753.78399999999999</v>
      </c>
      <c r="F66" s="65">
        <v>2250.1120000000001</v>
      </c>
      <c r="G66" s="65">
        <v>235.15899999999999</v>
      </c>
      <c r="H66" s="65">
        <v>3619.482</v>
      </c>
      <c r="I66" s="65">
        <v>7786.9</v>
      </c>
      <c r="J66" s="66" t="s">
        <v>91</v>
      </c>
      <c r="K66" s="237"/>
    </row>
    <row r="67" spans="2:11" x14ac:dyDescent="0.35">
      <c r="B67" s="234"/>
      <c r="C67" s="64" t="s">
        <v>76</v>
      </c>
      <c r="D67" s="65">
        <v>1137.7670000000001</v>
      </c>
      <c r="E67" s="65">
        <v>806.68399999999997</v>
      </c>
      <c r="F67" s="65">
        <v>2955.1819999999998</v>
      </c>
      <c r="G67" s="65">
        <v>261.86599999999999</v>
      </c>
      <c r="H67" s="65">
        <v>3532.0219999999999</v>
      </c>
      <c r="I67" s="65">
        <v>8693.5210000000006</v>
      </c>
      <c r="J67" s="66" t="s">
        <v>92</v>
      </c>
      <c r="K67" s="237"/>
    </row>
    <row r="68" spans="2:11" x14ac:dyDescent="0.35">
      <c r="B68" s="234"/>
      <c r="C68" s="64" t="s">
        <v>77</v>
      </c>
      <c r="D68" s="65">
        <v>1037.3440000000001</v>
      </c>
      <c r="E68" s="65">
        <v>671.36800000000005</v>
      </c>
      <c r="F68" s="65">
        <v>2965.0859999999998</v>
      </c>
      <c r="G68" s="65">
        <v>337.97800000000001</v>
      </c>
      <c r="H68" s="65">
        <v>3173.1390000000001</v>
      </c>
      <c r="I68" s="65">
        <v>8184.915</v>
      </c>
      <c r="J68" s="66" t="s">
        <v>93</v>
      </c>
      <c r="K68" s="237"/>
    </row>
    <row r="69" spans="2:11" x14ac:dyDescent="0.35">
      <c r="B69" s="234"/>
      <c r="C69" s="64" t="s">
        <v>78</v>
      </c>
      <c r="D69" s="65">
        <v>849.88</v>
      </c>
      <c r="E69" s="65">
        <v>753.47400000000005</v>
      </c>
      <c r="F69" s="65">
        <v>2028.1469999999999</v>
      </c>
      <c r="G69" s="65">
        <v>238.16300000000001</v>
      </c>
      <c r="H69" s="65">
        <v>2643.2719999999999</v>
      </c>
      <c r="I69" s="65">
        <v>6512.9359999999997</v>
      </c>
      <c r="J69" s="66" t="s">
        <v>94</v>
      </c>
      <c r="K69" s="237"/>
    </row>
    <row r="70" spans="2:11" x14ac:dyDescent="0.35">
      <c r="B70" s="234"/>
      <c r="C70" s="64" t="s">
        <v>79</v>
      </c>
      <c r="D70" s="65">
        <v>965.31399999999996</v>
      </c>
      <c r="E70" s="65">
        <v>796.99400000000003</v>
      </c>
      <c r="F70" s="65">
        <v>2444.2530000000002</v>
      </c>
      <c r="G70" s="65">
        <v>336.75599999999997</v>
      </c>
      <c r="H70" s="65">
        <v>2818.0479999999998</v>
      </c>
      <c r="I70" s="65">
        <v>7361.3649999999998</v>
      </c>
      <c r="J70" s="66" t="s">
        <v>95</v>
      </c>
      <c r="K70" s="237"/>
    </row>
    <row r="71" spans="2:11" x14ac:dyDescent="0.35">
      <c r="B71" s="234"/>
      <c r="C71" s="64" t="s">
        <v>80</v>
      </c>
      <c r="D71" s="65">
        <v>1100.117</v>
      </c>
      <c r="E71" s="65">
        <v>765.78700000000003</v>
      </c>
      <c r="F71" s="65">
        <v>3100.174</v>
      </c>
      <c r="G71" s="65">
        <v>237.34800000000001</v>
      </c>
      <c r="H71" s="65">
        <v>3432.3690000000001</v>
      </c>
      <c r="I71" s="65">
        <v>8635.7950000000001</v>
      </c>
      <c r="J71" s="66" t="s">
        <v>96</v>
      </c>
      <c r="K71" s="237"/>
    </row>
    <row r="72" spans="2:11" x14ac:dyDescent="0.35">
      <c r="B72" s="235"/>
      <c r="C72" s="96" t="s">
        <v>81</v>
      </c>
      <c r="D72" s="65">
        <v>981.51900000000001</v>
      </c>
      <c r="E72" s="65">
        <v>713.53599999999994</v>
      </c>
      <c r="F72" s="65">
        <v>2715.7469999999998</v>
      </c>
      <c r="G72" s="65">
        <v>250.50399999999999</v>
      </c>
      <c r="H72" s="65">
        <v>2732.92</v>
      </c>
      <c r="I72" s="65">
        <v>7394.2259999999997</v>
      </c>
      <c r="J72" s="97" t="s">
        <v>97</v>
      </c>
      <c r="K72" s="238"/>
    </row>
    <row r="73" spans="2:11" x14ac:dyDescent="0.35">
      <c r="B73" s="282" t="s">
        <v>85</v>
      </c>
      <c r="C73" s="283"/>
      <c r="D73" s="69">
        <v>13817.663</v>
      </c>
      <c r="E73" s="69">
        <v>8534.4439999999995</v>
      </c>
      <c r="F73" s="69">
        <v>30215.665000000001</v>
      </c>
      <c r="G73" s="69">
        <v>3098.431</v>
      </c>
      <c r="H73" s="69">
        <v>37657.31</v>
      </c>
      <c r="I73" s="69">
        <v>93323.513000000006</v>
      </c>
      <c r="J73" s="284" t="s">
        <v>98</v>
      </c>
      <c r="K73" s="285"/>
    </row>
  </sheetData>
  <mergeCells count="22">
    <mergeCell ref="B61:B72"/>
    <mergeCell ref="K61:K72"/>
    <mergeCell ref="B73:C73"/>
    <mergeCell ref="J73:K73"/>
    <mergeCell ref="A2:E2"/>
    <mergeCell ref="A3:E3"/>
    <mergeCell ref="B34:C34"/>
    <mergeCell ref="J34:K34"/>
    <mergeCell ref="B9:B20"/>
    <mergeCell ref="K9:K20"/>
    <mergeCell ref="B21:C21"/>
    <mergeCell ref="J21:K21"/>
    <mergeCell ref="B22:B33"/>
    <mergeCell ref="K22:K33"/>
    <mergeCell ref="B48:B59"/>
    <mergeCell ref="K48:K59"/>
    <mergeCell ref="B60:C60"/>
    <mergeCell ref="J60:K60"/>
    <mergeCell ref="B35:B46"/>
    <mergeCell ref="K35:K46"/>
    <mergeCell ref="B47:C47"/>
    <mergeCell ref="J47:K47"/>
  </mergeCells>
  <pageMargins left="0.7" right="0.7" top="0.75" bottom="0.75" header="0.3" footer="0.3"/>
  <pageSetup orientation="portrait" r:id="rId1"/>
  <headerFooter>
    <oddFooter>&amp;C&amp;1#&amp;"Calibri"&amp;11&amp;Kffa500CONFIDENTIAL▮▮مقيّد</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AI74"/>
  <sheetViews>
    <sheetView showGridLines="0" topLeftCell="A23" zoomScale="60" zoomScaleNormal="60" workbookViewId="0">
      <selection activeCell="I81" sqref="I81"/>
    </sheetView>
  </sheetViews>
  <sheetFormatPr defaultColWidth="8.81640625" defaultRowHeight="14.5" x14ac:dyDescent="0.35"/>
  <cols>
    <col min="3" max="5" width="17.81640625" bestFit="1" customWidth="1"/>
    <col min="6" max="6" width="18.54296875" customWidth="1"/>
    <col min="7" max="7" width="21.453125" customWidth="1"/>
    <col min="8" max="8" width="22.453125" bestFit="1" customWidth="1"/>
    <col min="9" max="9" width="21.453125" customWidth="1"/>
    <col min="10" max="10" width="17.81640625" bestFit="1" customWidth="1"/>
    <col min="11" max="12" width="17.54296875" customWidth="1"/>
    <col min="13" max="13" width="18.54296875" customWidth="1"/>
    <col min="14" max="18" width="17.54296875" customWidth="1"/>
    <col min="20" max="24" width="11.453125" bestFit="1" customWidth="1"/>
    <col min="25" max="25" width="9.54296875" bestFit="1" customWidth="1"/>
    <col min="26" max="27" width="11.453125" bestFit="1" customWidth="1"/>
    <col min="28" max="29" width="9.54296875" bestFit="1" customWidth="1"/>
    <col min="30" max="32" width="11.453125" bestFit="1" customWidth="1"/>
    <col min="33" max="33" width="12.453125" bestFit="1" customWidth="1"/>
  </cols>
  <sheetData>
    <row r="1" spans="1:35" x14ac:dyDescent="0.35">
      <c r="A1" s="9" t="s">
        <v>524</v>
      </c>
    </row>
    <row r="2" spans="1:35" x14ac:dyDescent="0.35">
      <c r="A2" s="232" t="s">
        <v>448</v>
      </c>
      <c r="B2" s="232"/>
      <c r="C2" s="232"/>
      <c r="D2" s="232"/>
      <c r="E2" s="232"/>
    </row>
    <row r="3" spans="1:35" x14ac:dyDescent="0.35">
      <c r="A3" s="232" t="s">
        <v>449</v>
      </c>
      <c r="B3" s="232"/>
      <c r="C3" s="232"/>
      <c r="D3" s="232"/>
      <c r="E3" s="232"/>
    </row>
    <row r="4" spans="1:35" x14ac:dyDescent="0.35">
      <c r="A4" s="9"/>
      <c r="B4" s="192"/>
      <c r="C4" s="192"/>
      <c r="D4" s="192"/>
      <c r="E4" s="192"/>
    </row>
    <row r="6" spans="1:35" ht="18" customHeight="1" x14ac:dyDescent="0.35">
      <c r="A6" s="10" t="s">
        <v>119</v>
      </c>
      <c r="B6" s="30" t="s">
        <v>346</v>
      </c>
      <c r="C6" s="13"/>
      <c r="D6" s="13"/>
      <c r="E6" s="13"/>
      <c r="F6" s="13"/>
      <c r="G6" s="13"/>
      <c r="H6" s="13"/>
      <c r="I6" s="13"/>
      <c r="J6" s="13"/>
      <c r="K6" s="13"/>
      <c r="L6" s="13"/>
      <c r="M6" s="13"/>
      <c r="N6" s="13"/>
      <c r="O6" s="13"/>
      <c r="P6" s="13"/>
      <c r="Q6" s="13"/>
      <c r="R6" s="13"/>
      <c r="S6" s="106" t="s">
        <v>338</v>
      </c>
    </row>
    <row r="7" spans="1:35" ht="18" customHeight="1" x14ac:dyDescent="0.35">
      <c r="B7" s="59"/>
      <c r="C7" s="60"/>
    </row>
    <row r="8" spans="1:35" ht="18" customHeight="1" x14ac:dyDescent="0.35">
      <c r="B8" s="59"/>
      <c r="C8" s="60"/>
      <c r="D8" s="62" t="s">
        <v>261</v>
      </c>
      <c r="E8" s="62" t="s">
        <v>262</v>
      </c>
      <c r="F8" s="62" t="s">
        <v>263</v>
      </c>
      <c r="G8" s="62" t="s">
        <v>51</v>
      </c>
      <c r="H8" s="62" t="s">
        <v>264</v>
      </c>
      <c r="I8" s="62" t="s">
        <v>265</v>
      </c>
      <c r="J8" s="62" t="s">
        <v>266</v>
      </c>
      <c r="K8" s="62" t="s">
        <v>267</v>
      </c>
      <c r="L8" s="62" t="s">
        <v>268</v>
      </c>
      <c r="M8" s="62" t="s">
        <v>269</v>
      </c>
      <c r="N8" s="62" t="s">
        <v>270</v>
      </c>
      <c r="O8" s="62" t="s">
        <v>271</v>
      </c>
      <c r="P8" s="62" t="s">
        <v>272</v>
      </c>
      <c r="Q8" s="62" t="s">
        <v>98</v>
      </c>
    </row>
    <row r="9" spans="1:35" x14ac:dyDescent="0.35">
      <c r="B9" s="59"/>
      <c r="C9" s="61" t="s">
        <v>99</v>
      </c>
      <c r="D9" s="62" t="s">
        <v>248</v>
      </c>
      <c r="E9" s="62" t="s">
        <v>249</v>
      </c>
      <c r="F9" s="62" t="s">
        <v>250</v>
      </c>
      <c r="G9" s="62" t="s">
        <v>251</v>
      </c>
      <c r="H9" s="62" t="s">
        <v>252</v>
      </c>
      <c r="I9" s="62" t="s">
        <v>253</v>
      </c>
      <c r="J9" s="62" t="s">
        <v>254</v>
      </c>
      <c r="K9" s="62" t="s">
        <v>255</v>
      </c>
      <c r="L9" s="62" t="s">
        <v>256</v>
      </c>
      <c r="M9" s="62" t="s">
        <v>257</v>
      </c>
      <c r="N9" s="62" t="s">
        <v>258</v>
      </c>
      <c r="O9" s="62" t="s">
        <v>259</v>
      </c>
      <c r="P9" s="62" t="s">
        <v>260</v>
      </c>
      <c r="Q9" s="62" t="s">
        <v>82</v>
      </c>
      <c r="R9" s="63" t="s">
        <v>100</v>
      </c>
    </row>
    <row r="10" spans="1:35" ht="18" customHeight="1" x14ac:dyDescent="0.35">
      <c r="B10" s="233">
        <v>2021</v>
      </c>
      <c r="C10" s="64" t="s">
        <v>70</v>
      </c>
      <c r="D10" s="65">
        <v>117.02</v>
      </c>
      <c r="E10" s="65">
        <v>228.84899999999999</v>
      </c>
      <c r="F10" s="65">
        <v>582.07000000000005</v>
      </c>
      <c r="G10" s="65">
        <v>885.39499999999998</v>
      </c>
      <c r="H10" s="65">
        <v>175.39</v>
      </c>
      <c r="I10" s="65">
        <v>215.768</v>
      </c>
      <c r="J10" s="65">
        <v>137.43899999999999</v>
      </c>
      <c r="K10" s="65">
        <v>285.36399999999998</v>
      </c>
      <c r="L10" s="65">
        <v>1519.703</v>
      </c>
      <c r="M10" s="65">
        <v>108.376</v>
      </c>
      <c r="N10" s="65">
        <v>78.707999999999998</v>
      </c>
      <c r="O10" s="65">
        <v>1331.175</v>
      </c>
      <c r="P10" s="65">
        <v>254.45099999999999</v>
      </c>
      <c r="Q10" s="65">
        <v>5919.7079999999996</v>
      </c>
      <c r="R10" s="66" t="s">
        <v>86</v>
      </c>
      <c r="S10" s="236">
        <v>2021</v>
      </c>
      <c r="T10" s="28"/>
      <c r="U10" s="28"/>
      <c r="V10" s="28"/>
      <c r="W10" s="28"/>
      <c r="X10" s="28"/>
      <c r="Y10" s="28"/>
      <c r="Z10" s="28"/>
      <c r="AA10" s="28"/>
      <c r="AB10" s="28"/>
      <c r="AC10" s="28"/>
      <c r="AD10" s="28"/>
      <c r="AE10" s="28"/>
      <c r="AF10" s="28"/>
      <c r="AG10" s="28"/>
      <c r="AH10" s="28"/>
      <c r="AI10" s="28"/>
    </row>
    <row r="11" spans="1:35" ht="18" customHeight="1" x14ac:dyDescent="0.35">
      <c r="B11" s="234"/>
      <c r="C11" s="64" t="s">
        <v>71</v>
      </c>
      <c r="D11" s="65">
        <v>60.712000000000003</v>
      </c>
      <c r="E11" s="65">
        <v>157.49100000000001</v>
      </c>
      <c r="F11" s="65">
        <v>362.36799999999999</v>
      </c>
      <c r="G11" s="65">
        <v>642.779</v>
      </c>
      <c r="H11" s="65">
        <v>119.777</v>
      </c>
      <c r="I11" s="65">
        <v>156.36699999999999</v>
      </c>
      <c r="J11" s="65">
        <v>93.364000000000004</v>
      </c>
      <c r="K11" s="65">
        <v>193.84700000000001</v>
      </c>
      <c r="L11" s="65">
        <v>1306.1420000000001</v>
      </c>
      <c r="M11" s="65">
        <v>73.754999999999995</v>
      </c>
      <c r="N11" s="65">
        <v>66.366</v>
      </c>
      <c r="O11" s="65">
        <v>951.01800000000003</v>
      </c>
      <c r="P11" s="65">
        <v>191.928</v>
      </c>
      <c r="Q11" s="65">
        <v>4375.9139999999998</v>
      </c>
      <c r="R11" s="66" t="s">
        <v>87</v>
      </c>
      <c r="S11" s="237"/>
      <c r="T11" s="28"/>
      <c r="U11" s="28"/>
      <c r="V11" s="28"/>
      <c r="W11" s="28"/>
      <c r="X11" s="28"/>
      <c r="Y11" s="28"/>
      <c r="Z11" s="28"/>
      <c r="AA11" s="28"/>
      <c r="AB11" s="28"/>
      <c r="AC11" s="28"/>
      <c r="AD11" s="28"/>
      <c r="AE11" s="28"/>
      <c r="AF11" s="28"/>
      <c r="AG11" s="28"/>
    </row>
    <row r="12" spans="1:35" ht="18" customHeight="1" x14ac:dyDescent="0.35">
      <c r="B12" s="234"/>
      <c r="C12" s="64" t="s">
        <v>72</v>
      </c>
      <c r="D12" s="65">
        <v>75.254999999999995</v>
      </c>
      <c r="E12" s="65">
        <v>152.304</v>
      </c>
      <c r="F12" s="65">
        <v>289.416</v>
      </c>
      <c r="G12" s="65">
        <v>671.58100000000002</v>
      </c>
      <c r="H12" s="65">
        <v>141.30699999999999</v>
      </c>
      <c r="I12" s="65">
        <v>155.21700000000001</v>
      </c>
      <c r="J12" s="65">
        <v>94.156999999999996</v>
      </c>
      <c r="K12" s="65">
        <v>208.17099999999999</v>
      </c>
      <c r="L12" s="65">
        <v>1229.06</v>
      </c>
      <c r="M12" s="65">
        <v>68.912000000000006</v>
      </c>
      <c r="N12" s="65">
        <v>52.636000000000003</v>
      </c>
      <c r="O12" s="65">
        <v>1078.1320000000001</v>
      </c>
      <c r="P12" s="65">
        <v>191.88900000000001</v>
      </c>
      <c r="Q12" s="65">
        <v>4408.0370000000003</v>
      </c>
      <c r="R12" s="66" t="s">
        <v>88</v>
      </c>
      <c r="S12" s="237"/>
      <c r="T12" s="28"/>
      <c r="U12" s="28"/>
      <c r="V12" s="28"/>
      <c r="W12" s="28"/>
      <c r="X12" s="28"/>
      <c r="Y12" s="28"/>
      <c r="Z12" s="28"/>
      <c r="AA12" s="28"/>
      <c r="AB12" s="28"/>
      <c r="AC12" s="28"/>
      <c r="AD12" s="28"/>
      <c r="AE12" s="28"/>
      <c r="AF12" s="28"/>
      <c r="AG12" s="28"/>
    </row>
    <row r="13" spans="1:35" ht="18" customHeight="1" x14ac:dyDescent="0.35">
      <c r="B13" s="234"/>
      <c r="C13" s="64" t="s">
        <v>73</v>
      </c>
      <c r="D13" s="65">
        <v>33.085000000000001</v>
      </c>
      <c r="E13" s="65">
        <v>166.845</v>
      </c>
      <c r="F13" s="65">
        <v>406.334</v>
      </c>
      <c r="G13" s="65">
        <v>719.16</v>
      </c>
      <c r="H13" s="65">
        <v>116.389</v>
      </c>
      <c r="I13" s="65">
        <v>160.35</v>
      </c>
      <c r="J13" s="65">
        <v>92.150999999999996</v>
      </c>
      <c r="K13" s="65">
        <v>214.887</v>
      </c>
      <c r="L13" s="65">
        <v>1177.5319999999999</v>
      </c>
      <c r="M13" s="65">
        <v>95.53</v>
      </c>
      <c r="N13" s="65">
        <v>47.859000000000002</v>
      </c>
      <c r="O13" s="65">
        <v>1003.482</v>
      </c>
      <c r="P13" s="65">
        <v>197.399</v>
      </c>
      <c r="Q13" s="65">
        <v>4431.0029999999997</v>
      </c>
      <c r="R13" s="66" t="s">
        <v>89</v>
      </c>
      <c r="S13" s="237"/>
      <c r="T13" s="28"/>
      <c r="U13" s="28"/>
      <c r="V13" s="28"/>
      <c r="W13" s="28"/>
      <c r="X13" s="28"/>
      <c r="Y13" s="28"/>
      <c r="Z13" s="28"/>
      <c r="AA13" s="28"/>
      <c r="AB13" s="28"/>
      <c r="AC13" s="28"/>
      <c r="AD13" s="28"/>
      <c r="AE13" s="28"/>
      <c r="AF13" s="28"/>
      <c r="AG13" s="28"/>
    </row>
    <row r="14" spans="1:35" ht="18" customHeight="1" x14ac:dyDescent="0.35">
      <c r="B14" s="234"/>
      <c r="C14" s="64" t="s">
        <v>74</v>
      </c>
      <c r="D14" s="65">
        <v>49.747</v>
      </c>
      <c r="E14" s="65">
        <v>230.684</v>
      </c>
      <c r="F14" s="65">
        <v>610.05799999999999</v>
      </c>
      <c r="G14" s="65">
        <v>834.93799999999999</v>
      </c>
      <c r="H14" s="65">
        <v>153.56100000000001</v>
      </c>
      <c r="I14" s="65">
        <v>232.51300000000001</v>
      </c>
      <c r="J14" s="65">
        <v>102.238</v>
      </c>
      <c r="K14" s="65">
        <v>265.69</v>
      </c>
      <c r="L14" s="65">
        <v>1748.566</v>
      </c>
      <c r="M14" s="65">
        <v>105.529</v>
      </c>
      <c r="N14" s="65">
        <v>66.534000000000006</v>
      </c>
      <c r="O14" s="65">
        <v>2079.21</v>
      </c>
      <c r="P14" s="65">
        <v>248.64400000000001</v>
      </c>
      <c r="Q14" s="65">
        <v>6727.9120000000003</v>
      </c>
      <c r="R14" s="66" t="s">
        <v>90</v>
      </c>
      <c r="S14" s="237"/>
      <c r="T14" s="28"/>
      <c r="U14" s="28"/>
      <c r="V14" s="28"/>
      <c r="W14" s="28"/>
      <c r="X14" s="28"/>
      <c r="Y14" s="28"/>
      <c r="Z14" s="28"/>
      <c r="AA14" s="28"/>
      <c r="AB14" s="28"/>
      <c r="AC14" s="28"/>
      <c r="AD14" s="28"/>
      <c r="AE14" s="28"/>
      <c r="AF14" s="28"/>
      <c r="AG14" s="28"/>
    </row>
    <row r="15" spans="1:35" ht="18" customHeight="1" x14ac:dyDescent="0.35">
      <c r="B15" s="234"/>
      <c r="C15" s="64" t="s">
        <v>75</v>
      </c>
      <c r="D15" s="65">
        <v>23.119</v>
      </c>
      <c r="E15" s="65">
        <v>210.12799999999999</v>
      </c>
      <c r="F15" s="65">
        <v>312.892</v>
      </c>
      <c r="G15" s="65">
        <v>568.85400000000004</v>
      </c>
      <c r="H15" s="65">
        <v>126.123</v>
      </c>
      <c r="I15" s="65">
        <v>299.334</v>
      </c>
      <c r="J15" s="65">
        <v>87.073999999999998</v>
      </c>
      <c r="K15" s="65">
        <v>217.417</v>
      </c>
      <c r="L15" s="65">
        <v>1087.248</v>
      </c>
      <c r="M15" s="65">
        <v>87.206000000000003</v>
      </c>
      <c r="N15" s="65">
        <v>50.741999999999997</v>
      </c>
      <c r="O15" s="65">
        <v>920.18200000000002</v>
      </c>
      <c r="P15" s="65">
        <v>175.25</v>
      </c>
      <c r="Q15" s="65">
        <v>4165.5690000000004</v>
      </c>
      <c r="R15" s="66" t="s">
        <v>91</v>
      </c>
      <c r="S15" s="237"/>
      <c r="T15" s="28"/>
      <c r="U15" s="28"/>
      <c r="V15" s="28"/>
      <c r="W15" s="28"/>
      <c r="X15" s="28"/>
      <c r="Y15" s="28"/>
      <c r="Z15" s="28"/>
      <c r="AA15" s="28"/>
      <c r="AB15" s="28"/>
      <c r="AC15" s="28"/>
      <c r="AD15" s="28"/>
      <c r="AE15" s="28"/>
      <c r="AF15" s="28"/>
      <c r="AG15" s="28"/>
    </row>
    <row r="16" spans="1:35" ht="18" customHeight="1" x14ac:dyDescent="0.35">
      <c r="B16" s="234"/>
      <c r="C16" s="64" t="s">
        <v>76</v>
      </c>
      <c r="D16" s="65">
        <v>39.683999999999997</v>
      </c>
      <c r="E16" s="65">
        <v>225.529</v>
      </c>
      <c r="F16" s="65">
        <v>483.07600000000002</v>
      </c>
      <c r="G16" s="65">
        <v>1128.078</v>
      </c>
      <c r="H16" s="65">
        <v>148.803</v>
      </c>
      <c r="I16" s="65">
        <v>227.607</v>
      </c>
      <c r="J16" s="65">
        <v>122.517</v>
      </c>
      <c r="K16" s="65">
        <v>329.78899999999999</v>
      </c>
      <c r="L16" s="65">
        <v>1777.2919999999999</v>
      </c>
      <c r="M16" s="65">
        <v>132.636</v>
      </c>
      <c r="N16" s="65">
        <v>79.905000000000001</v>
      </c>
      <c r="O16" s="65">
        <v>2558.0770000000002</v>
      </c>
      <c r="P16" s="65">
        <v>280.358</v>
      </c>
      <c r="Q16" s="65">
        <v>7533.3509999999997</v>
      </c>
      <c r="R16" s="66" t="s">
        <v>92</v>
      </c>
      <c r="S16" s="237"/>
      <c r="T16" s="28"/>
      <c r="U16" s="28"/>
      <c r="V16" s="28"/>
      <c r="W16" s="28"/>
      <c r="X16" s="28"/>
      <c r="Y16" s="28"/>
      <c r="Z16" s="28"/>
      <c r="AA16" s="28"/>
      <c r="AB16" s="28"/>
      <c r="AC16" s="28"/>
      <c r="AD16" s="28"/>
      <c r="AE16" s="28"/>
      <c r="AF16" s="28"/>
      <c r="AG16" s="28"/>
    </row>
    <row r="17" spans="2:33" ht="18" customHeight="1" x14ac:dyDescent="0.35">
      <c r="B17" s="234"/>
      <c r="C17" s="64" t="s">
        <v>77</v>
      </c>
      <c r="D17" s="65">
        <v>45.805</v>
      </c>
      <c r="E17" s="65">
        <v>193.53</v>
      </c>
      <c r="F17" s="65">
        <v>450.17399999999998</v>
      </c>
      <c r="G17" s="65">
        <v>819.97299999999996</v>
      </c>
      <c r="H17" s="65">
        <v>138.89099999999999</v>
      </c>
      <c r="I17" s="65">
        <v>231.62899999999999</v>
      </c>
      <c r="J17" s="65">
        <v>100.172</v>
      </c>
      <c r="K17" s="65">
        <v>277.154</v>
      </c>
      <c r="L17" s="65">
        <v>1703.9570000000001</v>
      </c>
      <c r="M17" s="65">
        <v>147.43799999999999</v>
      </c>
      <c r="N17" s="65">
        <v>65.62</v>
      </c>
      <c r="O17" s="65">
        <v>1086.8800000000001</v>
      </c>
      <c r="P17" s="65">
        <v>221.02699999999999</v>
      </c>
      <c r="Q17" s="65">
        <v>5482.25</v>
      </c>
      <c r="R17" s="66" t="s">
        <v>93</v>
      </c>
      <c r="S17" s="237"/>
      <c r="T17" s="28"/>
      <c r="U17" s="28"/>
      <c r="V17" s="28"/>
      <c r="W17" s="28"/>
      <c r="X17" s="28"/>
      <c r="Y17" s="28"/>
      <c r="Z17" s="28"/>
      <c r="AA17" s="28"/>
      <c r="AB17" s="28"/>
      <c r="AC17" s="28"/>
      <c r="AD17" s="28"/>
      <c r="AE17" s="28"/>
      <c r="AF17" s="28"/>
      <c r="AG17" s="28"/>
    </row>
    <row r="18" spans="2:33" ht="18" customHeight="1" x14ac:dyDescent="0.35">
      <c r="B18" s="234"/>
      <c r="C18" s="64" t="s">
        <v>78</v>
      </c>
      <c r="D18" s="65">
        <v>32.768999999999998</v>
      </c>
      <c r="E18" s="65">
        <v>181.166</v>
      </c>
      <c r="F18" s="65">
        <v>338.06299999999999</v>
      </c>
      <c r="G18" s="65">
        <v>652.05600000000004</v>
      </c>
      <c r="H18" s="65">
        <v>110.89700000000001</v>
      </c>
      <c r="I18" s="65">
        <v>188.11799999999999</v>
      </c>
      <c r="J18" s="65">
        <v>64.668999999999997</v>
      </c>
      <c r="K18" s="65">
        <v>185.19200000000001</v>
      </c>
      <c r="L18" s="65">
        <v>1209.317</v>
      </c>
      <c r="M18" s="65">
        <v>76.525000000000006</v>
      </c>
      <c r="N18" s="65">
        <v>42.744999999999997</v>
      </c>
      <c r="O18" s="65">
        <v>943.29399999999998</v>
      </c>
      <c r="P18" s="65">
        <v>160.48599999999999</v>
      </c>
      <c r="Q18" s="65">
        <v>4185.2969999999996</v>
      </c>
      <c r="R18" s="66" t="s">
        <v>94</v>
      </c>
      <c r="S18" s="237"/>
      <c r="T18" s="28"/>
      <c r="U18" s="28"/>
      <c r="V18" s="28"/>
      <c r="W18" s="28"/>
      <c r="X18" s="28"/>
      <c r="Y18" s="28"/>
      <c r="Z18" s="28"/>
      <c r="AA18" s="28"/>
      <c r="AB18" s="28"/>
      <c r="AC18" s="28"/>
      <c r="AD18" s="28"/>
      <c r="AE18" s="28"/>
      <c r="AF18" s="28"/>
      <c r="AG18" s="28"/>
    </row>
    <row r="19" spans="2:33" ht="18" customHeight="1" x14ac:dyDescent="0.35">
      <c r="B19" s="234"/>
      <c r="C19" s="64" t="s">
        <v>79</v>
      </c>
      <c r="D19" s="65">
        <v>87.659000000000006</v>
      </c>
      <c r="E19" s="65">
        <v>190.149</v>
      </c>
      <c r="F19" s="65">
        <v>480.49</v>
      </c>
      <c r="G19" s="65">
        <v>764.02700000000004</v>
      </c>
      <c r="H19" s="65">
        <v>122.896</v>
      </c>
      <c r="I19" s="65">
        <v>238.16</v>
      </c>
      <c r="J19" s="65">
        <v>91.113</v>
      </c>
      <c r="K19" s="65">
        <v>250.434</v>
      </c>
      <c r="L19" s="65">
        <v>1550.3689999999999</v>
      </c>
      <c r="M19" s="65">
        <v>98.567999999999998</v>
      </c>
      <c r="N19" s="65">
        <v>59.338000000000001</v>
      </c>
      <c r="O19" s="65">
        <v>1243.5319999999999</v>
      </c>
      <c r="P19" s="65">
        <v>221.82499999999999</v>
      </c>
      <c r="Q19" s="65">
        <v>5398.56</v>
      </c>
      <c r="R19" s="66" t="s">
        <v>95</v>
      </c>
      <c r="S19" s="237"/>
      <c r="T19" s="28"/>
      <c r="U19" s="28"/>
      <c r="V19" s="28"/>
      <c r="W19" s="28"/>
      <c r="X19" s="28"/>
      <c r="Y19" s="28"/>
      <c r="Z19" s="28"/>
      <c r="AA19" s="28"/>
      <c r="AB19" s="28"/>
      <c r="AC19" s="28"/>
      <c r="AD19" s="28"/>
      <c r="AE19" s="28"/>
      <c r="AF19" s="28"/>
      <c r="AG19" s="28"/>
    </row>
    <row r="20" spans="2:33" ht="18" customHeight="1" x14ac:dyDescent="0.35">
      <c r="B20" s="234"/>
      <c r="C20" s="64" t="s">
        <v>80</v>
      </c>
      <c r="D20" s="65">
        <v>79.436000000000007</v>
      </c>
      <c r="E20" s="65">
        <v>250.09100000000001</v>
      </c>
      <c r="F20" s="65">
        <v>872.05600000000004</v>
      </c>
      <c r="G20" s="65">
        <v>1010.265</v>
      </c>
      <c r="H20" s="65">
        <v>152.59200000000001</v>
      </c>
      <c r="I20" s="65">
        <v>124.104</v>
      </c>
      <c r="J20" s="65">
        <v>105.702</v>
      </c>
      <c r="K20" s="65">
        <v>336.839</v>
      </c>
      <c r="L20" s="65">
        <v>1594.672</v>
      </c>
      <c r="M20" s="65">
        <v>157.44999999999999</v>
      </c>
      <c r="N20" s="65">
        <v>86.575999999999993</v>
      </c>
      <c r="O20" s="65">
        <v>1646.35</v>
      </c>
      <c r="P20" s="65">
        <v>296.61799999999999</v>
      </c>
      <c r="Q20" s="65">
        <v>6712.7510000000002</v>
      </c>
      <c r="R20" s="66" t="s">
        <v>96</v>
      </c>
      <c r="S20" s="237"/>
      <c r="T20" s="28"/>
      <c r="U20" s="28"/>
      <c r="V20" s="28"/>
      <c r="W20" s="28"/>
      <c r="X20" s="28"/>
      <c r="Y20" s="28"/>
      <c r="Z20" s="28"/>
      <c r="AA20" s="28"/>
      <c r="AB20" s="28"/>
      <c r="AC20" s="28"/>
      <c r="AD20" s="28"/>
      <c r="AE20" s="28"/>
      <c r="AF20" s="28"/>
      <c r="AG20" s="28"/>
    </row>
    <row r="21" spans="2:33" ht="18" customHeight="1" x14ac:dyDescent="0.35">
      <c r="B21" s="235"/>
      <c r="C21" s="96" t="s">
        <v>81</v>
      </c>
      <c r="D21" s="65">
        <v>42.552</v>
      </c>
      <c r="E21" s="65">
        <v>137.77600000000001</v>
      </c>
      <c r="F21" s="65">
        <v>484.49299999999999</v>
      </c>
      <c r="G21" s="65">
        <v>690.64099999999996</v>
      </c>
      <c r="H21" s="65">
        <v>87.62</v>
      </c>
      <c r="I21" s="65">
        <v>103.904</v>
      </c>
      <c r="J21" s="65">
        <v>71.503</v>
      </c>
      <c r="K21" s="65">
        <v>206.93899999999999</v>
      </c>
      <c r="L21" s="65">
        <v>1193.021</v>
      </c>
      <c r="M21" s="65">
        <v>81.012</v>
      </c>
      <c r="N21" s="65">
        <v>50.597999999999999</v>
      </c>
      <c r="O21" s="65">
        <v>1161.4849999999999</v>
      </c>
      <c r="P21" s="65">
        <v>182.00200000000001</v>
      </c>
      <c r="Q21" s="65">
        <v>4493.5460000000003</v>
      </c>
      <c r="R21" s="97" t="s">
        <v>97</v>
      </c>
      <c r="S21" s="238"/>
      <c r="T21" s="28"/>
      <c r="U21" s="28"/>
      <c r="V21" s="28"/>
      <c r="W21" s="28"/>
      <c r="X21" s="28"/>
      <c r="Y21" s="28"/>
      <c r="Z21" s="28"/>
      <c r="AA21" s="28"/>
      <c r="AB21" s="28"/>
      <c r="AC21" s="28"/>
      <c r="AD21" s="28"/>
      <c r="AE21" s="28"/>
      <c r="AF21" s="28"/>
      <c r="AG21" s="28"/>
    </row>
    <row r="22" spans="2:33" ht="18" customHeight="1" x14ac:dyDescent="0.35">
      <c r="B22" s="282" t="s">
        <v>85</v>
      </c>
      <c r="C22" s="283"/>
      <c r="D22" s="69">
        <v>686.84299999999996</v>
      </c>
      <c r="E22" s="69">
        <v>2324.5419999999999</v>
      </c>
      <c r="F22" s="69">
        <v>5671.49</v>
      </c>
      <c r="G22" s="69">
        <v>9387.7469999999994</v>
      </c>
      <c r="H22" s="69">
        <v>1594.2460000000001</v>
      </c>
      <c r="I22" s="69">
        <v>2333.0709999999999</v>
      </c>
      <c r="J22" s="69">
        <v>1162.0989999999999</v>
      </c>
      <c r="K22" s="69">
        <v>2971.723</v>
      </c>
      <c r="L22" s="69">
        <v>17096.879000000001</v>
      </c>
      <c r="M22" s="69">
        <v>1232.9369999999999</v>
      </c>
      <c r="N22" s="69">
        <v>747.62699999999995</v>
      </c>
      <c r="O22" s="69">
        <v>16002.816999999999</v>
      </c>
      <c r="P22" s="69">
        <v>2621.877</v>
      </c>
      <c r="Q22" s="69">
        <v>63833.898000000001</v>
      </c>
      <c r="R22" s="284" t="s">
        <v>98</v>
      </c>
      <c r="S22" s="285"/>
      <c r="T22" s="28"/>
      <c r="U22" s="28"/>
      <c r="V22" s="28"/>
      <c r="W22" s="28"/>
      <c r="X22" s="28"/>
      <c r="Y22" s="28"/>
      <c r="Z22" s="28"/>
      <c r="AA22" s="28"/>
      <c r="AB22" s="28"/>
      <c r="AC22" s="28"/>
      <c r="AD22" s="28"/>
      <c r="AE22" s="28"/>
      <c r="AF22" s="28"/>
      <c r="AG22" s="28"/>
    </row>
    <row r="23" spans="2:33" x14ac:dyDescent="0.35">
      <c r="B23" s="233">
        <v>2022</v>
      </c>
      <c r="C23" s="64" t="s">
        <v>70</v>
      </c>
      <c r="D23" s="65">
        <v>67.013000000000005</v>
      </c>
      <c r="E23" s="65">
        <v>208.54300000000001</v>
      </c>
      <c r="F23" s="65">
        <v>601.721</v>
      </c>
      <c r="G23" s="65">
        <v>1019.13</v>
      </c>
      <c r="H23" s="65">
        <v>166.51499999999999</v>
      </c>
      <c r="I23" s="65">
        <v>274.76299999999998</v>
      </c>
      <c r="J23" s="65">
        <v>135.27600000000001</v>
      </c>
      <c r="K23" s="65">
        <v>351.15300000000002</v>
      </c>
      <c r="L23" s="65">
        <v>2206.2869999999998</v>
      </c>
      <c r="M23" s="65">
        <v>137.15700000000001</v>
      </c>
      <c r="N23" s="65">
        <v>117.352</v>
      </c>
      <c r="O23" s="65">
        <v>2082.136</v>
      </c>
      <c r="P23" s="65">
        <v>308.11399999999998</v>
      </c>
      <c r="Q23" s="65">
        <v>7675.16</v>
      </c>
      <c r="R23" s="66" t="s">
        <v>86</v>
      </c>
      <c r="S23" s="236">
        <v>2022</v>
      </c>
    </row>
    <row r="24" spans="2:33" x14ac:dyDescent="0.35">
      <c r="B24" s="234"/>
      <c r="C24" s="64" t="s">
        <v>71</v>
      </c>
      <c r="D24" s="65">
        <v>56.88</v>
      </c>
      <c r="E24" s="65">
        <v>196.215</v>
      </c>
      <c r="F24" s="65">
        <v>449.77</v>
      </c>
      <c r="G24" s="65">
        <v>938.86500000000001</v>
      </c>
      <c r="H24" s="65">
        <v>165.26599999999999</v>
      </c>
      <c r="I24" s="65">
        <v>130.95400000000001</v>
      </c>
      <c r="J24" s="65">
        <v>108.01300000000001</v>
      </c>
      <c r="K24" s="65">
        <v>376.77600000000001</v>
      </c>
      <c r="L24" s="65">
        <v>1912.085</v>
      </c>
      <c r="M24" s="65">
        <v>106.20699999999999</v>
      </c>
      <c r="N24" s="65">
        <v>77.012</v>
      </c>
      <c r="O24" s="65">
        <v>1685.5709999999999</v>
      </c>
      <c r="P24" s="65">
        <v>246.32400000000001</v>
      </c>
      <c r="Q24" s="65">
        <v>6449.9380000000001</v>
      </c>
      <c r="R24" s="66" t="s">
        <v>87</v>
      </c>
      <c r="S24" s="237"/>
    </row>
    <row r="25" spans="2:33" x14ac:dyDescent="0.35">
      <c r="B25" s="234"/>
      <c r="C25" s="64" t="s">
        <v>72</v>
      </c>
      <c r="D25" s="65">
        <v>50.664000000000001</v>
      </c>
      <c r="E25" s="65">
        <v>200.98400000000001</v>
      </c>
      <c r="F25" s="65">
        <v>401.709</v>
      </c>
      <c r="G25" s="65">
        <v>826.82299999999998</v>
      </c>
      <c r="H25" s="65">
        <v>137.839</v>
      </c>
      <c r="I25" s="65">
        <v>143.87799999999999</v>
      </c>
      <c r="J25" s="65">
        <v>91.534000000000006</v>
      </c>
      <c r="K25" s="65">
        <v>331.12799999999999</v>
      </c>
      <c r="L25" s="65">
        <v>1769.704</v>
      </c>
      <c r="M25" s="65">
        <v>104.31100000000001</v>
      </c>
      <c r="N25" s="65">
        <v>65.198999999999998</v>
      </c>
      <c r="O25" s="65">
        <v>1868.13</v>
      </c>
      <c r="P25" s="65">
        <v>212.852</v>
      </c>
      <c r="Q25" s="65">
        <v>6204.7550000000001</v>
      </c>
      <c r="R25" s="66" t="s">
        <v>88</v>
      </c>
      <c r="S25" s="237"/>
    </row>
    <row r="26" spans="2:33" x14ac:dyDescent="0.35">
      <c r="B26" s="234"/>
      <c r="C26" s="64" t="s">
        <v>73</v>
      </c>
      <c r="D26" s="65">
        <v>56.527000000000001</v>
      </c>
      <c r="E26" s="65">
        <v>182.52</v>
      </c>
      <c r="F26" s="65">
        <v>554.41</v>
      </c>
      <c r="G26" s="65">
        <v>1000.722</v>
      </c>
      <c r="H26" s="65">
        <v>138.131</v>
      </c>
      <c r="I26" s="65">
        <v>164.364</v>
      </c>
      <c r="J26" s="65">
        <v>96.608000000000004</v>
      </c>
      <c r="K26" s="65">
        <v>357.8</v>
      </c>
      <c r="L26" s="65">
        <v>1998.3019999999999</v>
      </c>
      <c r="M26" s="65">
        <v>95.756</v>
      </c>
      <c r="N26" s="65">
        <v>65.210999999999999</v>
      </c>
      <c r="O26" s="65">
        <v>3041.9169999999999</v>
      </c>
      <c r="P26" s="65">
        <v>283.863</v>
      </c>
      <c r="Q26" s="65">
        <v>8036.1310000000003</v>
      </c>
      <c r="R26" s="66" t="s">
        <v>89</v>
      </c>
      <c r="S26" s="237"/>
    </row>
    <row r="27" spans="2:33" x14ac:dyDescent="0.35">
      <c r="B27" s="234"/>
      <c r="C27" s="64" t="s">
        <v>74</v>
      </c>
      <c r="D27" s="65">
        <v>48.246000000000002</v>
      </c>
      <c r="E27" s="65">
        <v>223.07300000000001</v>
      </c>
      <c r="F27" s="65">
        <v>472.93400000000003</v>
      </c>
      <c r="G27" s="65">
        <v>902.32799999999997</v>
      </c>
      <c r="H27" s="65">
        <v>150.434</v>
      </c>
      <c r="I27" s="65">
        <v>169.43700000000001</v>
      </c>
      <c r="J27" s="65">
        <v>105.679</v>
      </c>
      <c r="K27" s="65">
        <v>337.5</v>
      </c>
      <c r="L27" s="65">
        <v>2262.259</v>
      </c>
      <c r="M27" s="65">
        <v>126.932</v>
      </c>
      <c r="N27" s="65">
        <v>70.947999999999993</v>
      </c>
      <c r="O27" s="65">
        <v>2131.9969999999998</v>
      </c>
      <c r="P27" s="65">
        <v>244.34200000000001</v>
      </c>
      <c r="Q27" s="65">
        <v>7246.1090000000004</v>
      </c>
      <c r="R27" s="66" t="s">
        <v>90</v>
      </c>
      <c r="S27" s="237"/>
    </row>
    <row r="28" spans="2:33" x14ac:dyDescent="0.35">
      <c r="B28" s="234"/>
      <c r="C28" s="64" t="s">
        <v>75</v>
      </c>
      <c r="D28" s="65">
        <v>32.380000000000003</v>
      </c>
      <c r="E28" s="65">
        <v>130.517</v>
      </c>
      <c r="F28" s="65">
        <v>288.959</v>
      </c>
      <c r="G28" s="65">
        <v>575.09299999999996</v>
      </c>
      <c r="H28" s="65">
        <v>86.849000000000004</v>
      </c>
      <c r="I28" s="65">
        <v>118.996</v>
      </c>
      <c r="J28" s="65">
        <v>59.545000000000002</v>
      </c>
      <c r="K28" s="65">
        <v>189.529</v>
      </c>
      <c r="L28" s="65">
        <v>1328.04</v>
      </c>
      <c r="M28" s="65">
        <v>76.17</v>
      </c>
      <c r="N28" s="65">
        <v>41.036000000000001</v>
      </c>
      <c r="O28" s="65">
        <v>947.04600000000005</v>
      </c>
      <c r="P28" s="65">
        <v>158.62700000000001</v>
      </c>
      <c r="Q28" s="65">
        <v>4032.7869999999998</v>
      </c>
      <c r="R28" s="66" t="s">
        <v>91</v>
      </c>
      <c r="S28" s="237"/>
    </row>
    <row r="29" spans="2:33" x14ac:dyDescent="0.35">
      <c r="B29" s="234"/>
      <c r="C29" s="64" t="s">
        <v>76</v>
      </c>
      <c r="D29" s="65">
        <v>50.722000000000001</v>
      </c>
      <c r="E29" s="65">
        <v>265.964</v>
      </c>
      <c r="F29" s="65">
        <v>527.452</v>
      </c>
      <c r="G29" s="65">
        <v>1394.289</v>
      </c>
      <c r="H29" s="65">
        <v>181.399</v>
      </c>
      <c r="I29" s="65">
        <v>188.58799999999999</v>
      </c>
      <c r="J29" s="65">
        <v>135.80699999999999</v>
      </c>
      <c r="K29" s="65">
        <v>406.90199999999999</v>
      </c>
      <c r="L29" s="65">
        <v>3174.6480000000001</v>
      </c>
      <c r="M29" s="65">
        <v>184.398</v>
      </c>
      <c r="N29" s="65">
        <v>89.619</v>
      </c>
      <c r="O29" s="65">
        <v>3839.2860000000001</v>
      </c>
      <c r="P29" s="65">
        <v>356.48</v>
      </c>
      <c r="Q29" s="65">
        <v>10795.554</v>
      </c>
      <c r="R29" s="66" t="s">
        <v>92</v>
      </c>
      <c r="S29" s="237"/>
    </row>
    <row r="30" spans="2:33" x14ac:dyDescent="0.35">
      <c r="B30" s="234"/>
      <c r="C30" s="64" t="s">
        <v>77</v>
      </c>
      <c r="D30" s="65">
        <v>47.374000000000002</v>
      </c>
      <c r="E30" s="65">
        <v>254.40199999999999</v>
      </c>
      <c r="F30" s="65">
        <v>454.11</v>
      </c>
      <c r="G30" s="65">
        <v>836.46299999999997</v>
      </c>
      <c r="H30" s="65">
        <v>178.99700000000001</v>
      </c>
      <c r="I30" s="65">
        <v>139.245</v>
      </c>
      <c r="J30" s="65">
        <v>119.16800000000001</v>
      </c>
      <c r="K30" s="65">
        <v>435.065</v>
      </c>
      <c r="L30" s="65">
        <v>2125.4560000000001</v>
      </c>
      <c r="M30" s="65">
        <v>159.97300000000001</v>
      </c>
      <c r="N30" s="65">
        <v>78.986999999999995</v>
      </c>
      <c r="O30" s="65">
        <v>1890.11</v>
      </c>
      <c r="P30" s="65">
        <v>289.08800000000002</v>
      </c>
      <c r="Q30" s="65">
        <v>7008.4380000000001</v>
      </c>
      <c r="R30" s="66" t="s">
        <v>93</v>
      </c>
      <c r="S30" s="237"/>
    </row>
    <row r="31" spans="2:33" x14ac:dyDescent="0.35">
      <c r="B31" s="234"/>
      <c r="C31" s="64" t="s">
        <v>78</v>
      </c>
      <c r="D31" s="65">
        <v>39.198</v>
      </c>
      <c r="E31" s="65">
        <v>157.79</v>
      </c>
      <c r="F31" s="65">
        <v>329.49</v>
      </c>
      <c r="G31" s="65">
        <v>568.43100000000004</v>
      </c>
      <c r="H31" s="65">
        <v>90.882999999999996</v>
      </c>
      <c r="I31" s="65">
        <v>74.037999999999997</v>
      </c>
      <c r="J31" s="65">
        <v>67.453000000000003</v>
      </c>
      <c r="K31" s="65">
        <v>218.245</v>
      </c>
      <c r="L31" s="65">
        <v>1019.24</v>
      </c>
      <c r="M31" s="65">
        <v>74.911000000000001</v>
      </c>
      <c r="N31" s="65">
        <v>66.87</v>
      </c>
      <c r="O31" s="65">
        <v>1269.8240000000001</v>
      </c>
      <c r="P31" s="65">
        <v>219.666</v>
      </c>
      <c r="Q31" s="65">
        <v>4196.0389999999998</v>
      </c>
      <c r="R31" s="66" t="s">
        <v>94</v>
      </c>
      <c r="S31" s="237"/>
    </row>
    <row r="32" spans="2:33" x14ac:dyDescent="0.35">
      <c r="B32" s="234"/>
      <c r="C32" s="64" t="s">
        <v>79</v>
      </c>
      <c r="D32" s="65">
        <v>47.637</v>
      </c>
      <c r="E32" s="65">
        <v>180.185</v>
      </c>
      <c r="F32" s="65">
        <v>491.851</v>
      </c>
      <c r="G32" s="65">
        <v>760.41200000000003</v>
      </c>
      <c r="H32" s="65">
        <v>114.624</v>
      </c>
      <c r="I32" s="65">
        <v>89.203999999999994</v>
      </c>
      <c r="J32" s="65">
        <v>92.04</v>
      </c>
      <c r="K32" s="65">
        <v>261.55099999999999</v>
      </c>
      <c r="L32" s="65">
        <v>1014.2329999999999</v>
      </c>
      <c r="M32" s="65">
        <v>101.744</v>
      </c>
      <c r="N32" s="65">
        <v>103.657</v>
      </c>
      <c r="O32" s="65">
        <v>1321.2249999999999</v>
      </c>
      <c r="P32" s="65">
        <v>259.82299999999998</v>
      </c>
      <c r="Q32" s="65">
        <v>4838.1859999999997</v>
      </c>
      <c r="R32" s="66" t="s">
        <v>95</v>
      </c>
      <c r="S32" s="237"/>
    </row>
    <row r="33" spans="2:19" x14ac:dyDescent="0.35">
      <c r="B33" s="234"/>
      <c r="C33" s="64" t="s">
        <v>80</v>
      </c>
      <c r="D33" s="65">
        <v>96.569000000000003</v>
      </c>
      <c r="E33" s="65">
        <v>238.43100000000001</v>
      </c>
      <c r="F33" s="65">
        <v>806.34299999999996</v>
      </c>
      <c r="G33" s="65">
        <v>1094.7090000000001</v>
      </c>
      <c r="H33" s="65">
        <v>148.411</v>
      </c>
      <c r="I33" s="65">
        <v>123.4</v>
      </c>
      <c r="J33" s="65">
        <v>104.785</v>
      </c>
      <c r="K33" s="65">
        <v>392.33800000000002</v>
      </c>
      <c r="L33" s="65">
        <v>1430.6030000000001</v>
      </c>
      <c r="M33" s="65">
        <v>155.321</v>
      </c>
      <c r="N33" s="65">
        <v>130.40899999999999</v>
      </c>
      <c r="O33" s="65">
        <v>1968.683</v>
      </c>
      <c r="P33" s="65">
        <v>313.14699999999999</v>
      </c>
      <c r="Q33" s="65">
        <v>7003.1490000000003</v>
      </c>
      <c r="R33" s="66" t="s">
        <v>96</v>
      </c>
      <c r="S33" s="237"/>
    </row>
    <row r="34" spans="2:19" x14ac:dyDescent="0.35">
      <c r="B34" s="235"/>
      <c r="C34" s="96" t="s">
        <v>81</v>
      </c>
      <c r="D34" s="65">
        <v>41.171999999999997</v>
      </c>
      <c r="E34" s="65">
        <v>180.738</v>
      </c>
      <c r="F34" s="65">
        <v>468.70100000000002</v>
      </c>
      <c r="G34" s="65">
        <v>674.75</v>
      </c>
      <c r="H34" s="65">
        <v>94.43</v>
      </c>
      <c r="I34" s="65">
        <v>70.906000000000006</v>
      </c>
      <c r="J34" s="65">
        <v>70.435000000000002</v>
      </c>
      <c r="K34" s="65">
        <v>309.13499999999999</v>
      </c>
      <c r="L34" s="65">
        <v>890.13599999999997</v>
      </c>
      <c r="M34" s="65">
        <v>104.15600000000001</v>
      </c>
      <c r="N34" s="65">
        <v>79.069000000000003</v>
      </c>
      <c r="O34" s="65">
        <v>1131.79</v>
      </c>
      <c r="P34" s="65">
        <v>234.83699999999999</v>
      </c>
      <c r="Q34" s="65">
        <v>4350.2550000000001</v>
      </c>
      <c r="R34" s="97" t="s">
        <v>97</v>
      </c>
      <c r="S34" s="238"/>
    </row>
    <row r="35" spans="2:19" x14ac:dyDescent="0.35">
      <c r="B35" s="282" t="s">
        <v>85</v>
      </c>
      <c r="C35" s="283"/>
      <c r="D35" s="69">
        <v>634.38199999999995</v>
      </c>
      <c r="E35" s="69">
        <v>2419.3620000000001</v>
      </c>
      <c r="F35" s="69">
        <v>5847.45</v>
      </c>
      <c r="G35" s="69">
        <v>10592.014999999999</v>
      </c>
      <c r="H35" s="69">
        <v>1653.778</v>
      </c>
      <c r="I35" s="69">
        <v>1687.7729999999999</v>
      </c>
      <c r="J35" s="69">
        <v>1186.3430000000001</v>
      </c>
      <c r="K35" s="69">
        <v>3967.1219999999998</v>
      </c>
      <c r="L35" s="69">
        <v>21130.992999999999</v>
      </c>
      <c r="M35" s="69">
        <v>1427.0360000000001</v>
      </c>
      <c r="N35" s="69">
        <v>985.36900000000003</v>
      </c>
      <c r="O35" s="69">
        <v>23177.715</v>
      </c>
      <c r="P35" s="69">
        <v>3127.163</v>
      </c>
      <c r="Q35" s="69">
        <v>77836.501000000004</v>
      </c>
      <c r="R35" s="284" t="s">
        <v>98</v>
      </c>
      <c r="S35" s="285"/>
    </row>
    <row r="36" spans="2:19" x14ac:dyDescent="0.35">
      <c r="B36" s="233">
        <v>2023</v>
      </c>
      <c r="C36" s="64" t="s">
        <v>70</v>
      </c>
      <c r="D36" s="65">
        <v>58.798000000000002</v>
      </c>
      <c r="E36" s="65">
        <v>220.9</v>
      </c>
      <c r="F36" s="65">
        <v>797.30100000000004</v>
      </c>
      <c r="G36" s="65">
        <v>1041.9670000000001</v>
      </c>
      <c r="H36" s="65">
        <v>130.05500000000001</v>
      </c>
      <c r="I36" s="65">
        <v>134.196</v>
      </c>
      <c r="J36" s="65">
        <v>102.27500000000001</v>
      </c>
      <c r="K36" s="65">
        <v>346.315</v>
      </c>
      <c r="L36" s="65">
        <v>1454.1610000000001</v>
      </c>
      <c r="M36" s="65">
        <v>171.65700000000001</v>
      </c>
      <c r="N36" s="65">
        <v>90.272999999999996</v>
      </c>
      <c r="O36" s="65">
        <v>1432.7919999999999</v>
      </c>
      <c r="P36" s="65">
        <v>313.26600000000002</v>
      </c>
      <c r="Q36" s="65">
        <v>6293.9560000000001</v>
      </c>
      <c r="R36" s="66" t="s">
        <v>86</v>
      </c>
      <c r="S36" s="236">
        <v>2023</v>
      </c>
    </row>
    <row r="37" spans="2:19" x14ac:dyDescent="0.35">
      <c r="B37" s="234"/>
      <c r="C37" s="64" t="s">
        <v>71</v>
      </c>
      <c r="D37" s="65">
        <v>46.68</v>
      </c>
      <c r="E37" s="65">
        <v>229.42400000000001</v>
      </c>
      <c r="F37" s="65">
        <v>568.82799999999997</v>
      </c>
      <c r="G37" s="65">
        <v>1028.615</v>
      </c>
      <c r="H37" s="65">
        <v>133.011</v>
      </c>
      <c r="I37" s="65">
        <v>150.15700000000001</v>
      </c>
      <c r="J37" s="65">
        <v>91.3</v>
      </c>
      <c r="K37" s="65">
        <v>327.64400000000001</v>
      </c>
      <c r="L37" s="65">
        <v>1128.1220000000001</v>
      </c>
      <c r="M37" s="65">
        <v>124</v>
      </c>
      <c r="N37" s="65">
        <v>89.141000000000005</v>
      </c>
      <c r="O37" s="65">
        <v>1365.491</v>
      </c>
      <c r="P37" s="65">
        <v>325.22399999999999</v>
      </c>
      <c r="Q37" s="65">
        <v>5607.6369999999997</v>
      </c>
      <c r="R37" s="66" t="s">
        <v>87</v>
      </c>
      <c r="S37" s="237"/>
    </row>
    <row r="38" spans="2:19" x14ac:dyDescent="0.35">
      <c r="B38" s="234"/>
      <c r="C38" s="64" t="s">
        <v>72</v>
      </c>
      <c r="D38" s="65">
        <v>69.668000000000006</v>
      </c>
      <c r="E38" s="65">
        <v>241.11199999999999</v>
      </c>
      <c r="F38" s="65">
        <v>581.91</v>
      </c>
      <c r="G38" s="65">
        <v>1054.732</v>
      </c>
      <c r="H38" s="65">
        <v>171.66499999999999</v>
      </c>
      <c r="I38" s="65">
        <v>106.756</v>
      </c>
      <c r="J38" s="65">
        <v>115.514</v>
      </c>
      <c r="K38" s="65">
        <v>430.33499999999998</v>
      </c>
      <c r="L38" s="65">
        <v>1317.12</v>
      </c>
      <c r="M38" s="65">
        <v>152.86500000000001</v>
      </c>
      <c r="N38" s="65">
        <v>100.60899999999999</v>
      </c>
      <c r="O38" s="65">
        <v>1808.84</v>
      </c>
      <c r="P38" s="65">
        <v>351.03</v>
      </c>
      <c r="Q38" s="65">
        <v>6502.1559999999999</v>
      </c>
      <c r="R38" s="66" t="s">
        <v>88</v>
      </c>
      <c r="S38" s="237"/>
    </row>
    <row r="39" spans="2:19" x14ac:dyDescent="0.35">
      <c r="B39" s="234"/>
      <c r="C39" s="64" t="s">
        <v>73</v>
      </c>
      <c r="D39" s="65">
        <v>52.488999999999997</v>
      </c>
      <c r="E39" s="65">
        <v>210.999</v>
      </c>
      <c r="F39" s="65">
        <v>478.49799999999999</v>
      </c>
      <c r="G39" s="65">
        <v>1103.4069999999999</v>
      </c>
      <c r="H39" s="65">
        <v>132.108</v>
      </c>
      <c r="I39" s="65">
        <v>135.51400000000001</v>
      </c>
      <c r="J39" s="65">
        <v>110.508</v>
      </c>
      <c r="K39" s="65">
        <v>347.74599999999998</v>
      </c>
      <c r="L39" s="65">
        <v>1264.2090000000001</v>
      </c>
      <c r="M39" s="65">
        <v>115.26900000000001</v>
      </c>
      <c r="N39" s="65">
        <v>96.320999999999998</v>
      </c>
      <c r="O39" s="65">
        <v>2463.2109999999998</v>
      </c>
      <c r="P39" s="65">
        <v>371.017</v>
      </c>
      <c r="Q39" s="65">
        <v>6881.2960000000003</v>
      </c>
      <c r="R39" s="66" t="s">
        <v>89</v>
      </c>
      <c r="S39" s="237"/>
    </row>
    <row r="40" spans="2:19" x14ac:dyDescent="0.35">
      <c r="B40" s="234"/>
      <c r="C40" s="64" t="s">
        <v>74</v>
      </c>
      <c r="D40" s="65">
        <v>45.523000000000003</v>
      </c>
      <c r="E40" s="65">
        <v>169.74299999999999</v>
      </c>
      <c r="F40" s="65">
        <v>397.31</v>
      </c>
      <c r="G40" s="65">
        <v>870.50599999999997</v>
      </c>
      <c r="H40" s="65">
        <v>152.554</v>
      </c>
      <c r="I40" s="65">
        <v>90.891999999999996</v>
      </c>
      <c r="J40" s="65">
        <v>95.308999999999997</v>
      </c>
      <c r="K40" s="65">
        <v>334.52800000000002</v>
      </c>
      <c r="L40" s="65">
        <v>1157.778</v>
      </c>
      <c r="M40" s="65">
        <v>123.547</v>
      </c>
      <c r="N40" s="65">
        <v>70.97</v>
      </c>
      <c r="O40" s="65">
        <v>1216.912</v>
      </c>
      <c r="P40" s="65">
        <v>277.41899999999998</v>
      </c>
      <c r="Q40" s="65">
        <v>5002.991</v>
      </c>
      <c r="R40" s="66" t="s">
        <v>90</v>
      </c>
      <c r="S40" s="237"/>
    </row>
    <row r="41" spans="2:19" x14ac:dyDescent="0.35">
      <c r="B41" s="234"/>
      <c r="C41" s="64" t="s">
        <v>75</v>
      </c>
      <c r="D41" s="65">
        <v>51.045999999999999</v>
      </c>
      <c r="E41" s="65">
        <v>249.31299999999999</v>
      </c>
      <c r="F41" s="65">
        <v>533.72500000000002</v>
      </c>
      <c r="G41" s="65">
        <v>1606.95</v>
      </c>
      <c r="H41" s="65">
        <v>178.50700000000001</v>
      </c>
      <c r="I41" s="65">
        <v>142.97</v>
      </c>
      <c r="J41" s="65">
        <v>149.25800000000001</v>
      </c>
      <c r="K41" s="65">
        <v>521.05200000000002</v>
      </c>
      <c r="L41" s="65">
        <v>2116.3490000000002</v>
      </c>
      <c r="M41" s="65">
        <v>170.80699999999999</v>
      </c>
      <c r="N41" s="65">
        <v>146.69999999999999</v>
      </c>
      <c r="O41" s="65">
        <v>3181.143</v>
      </c>
      <c r="P41" s="65">
        <v>500.04</v>
      </c>
      <c r="Q41" s="65">
        <v>9547.86</v>
      </c>
      <c r="R41" s="66" t="s">
        <v>91</v>
      </c>
      <c r="S41" s="237"/>
    </row>
    <row r="42" spans="2:19" x14ac:dyDescent="0.35">
      <c r="B42" s="234"/>
      <c r="C42" s="64" t="s">
        <v>76</v>
      </c>
      <c r="D42" s="65">
        <v>66.881</v>
      </c>
      <c r="E42" s="65">
        <v>309.697</v>
      </c>
      <c r="F42" s="65">
        <v>534.65599999999995</v>
      </c>
      <c r="G42" s="65">
        <v>1182.479</v>
      </c>
      <c r="H42" s="65">
        <v>208.72300000000001</v>
      </c>
      <c r="I42" s="65">
        <v>155.70500000000001</v>
      </c>
      <c r="J42" s="65">
        <v>160.73400000000001</v>
      </c>
      <c r="K42" s="65">
        <v>510.77600000000001</v>
      </c>
      <c r="L42" s="65">
        <v>1952.479</v>
      </c>
      <c r="M42" s="65">
        <v>174.03200000000001</v>
      </c>
      <c r="N42" s="65">
        <v>110.913</v>
      </c>
      <c r="O42" s="65">
        <v>2296.9450000000002</v>
      </c>
      <c r="P42" s="65">
        <v>454.23599999999999</v>
      </c>
      <c r="Q42" s="65">
        <v>8118.2560000000003</v>
      </c>
      <c r="R42" s="66" t="s">
        <v>92</v>
      </c>
      <c r="S42" s="237"/>
    </row>
    <row r="43" spans="2:19" x14ac:dyDescent="0.35">
      <c r="B43" s="234"/>
      <c r="C43" s="64" t="s">
        <v>77</v>
      </c>
      <c r="D43" s="65">
        <v>55.582999999999998</v>
      </c>
      <c r="E43" s="65">
        <v>272.02300000000002</v>
      </c>
      <c r="F43" s="65">
        <v>459.36599999999999</v>
      </c>
      <c r="G43" s="65">
        <v>1052.518</v>
      </c>
      <c r="H43" s="65">
        <v>189.459</v>
      </c>
      <c r="I43" s="65">
        <v>129.702</v>
      </c>
      <c r="J43" s="65">
        <v>129.02199999999999</v>
      </c>
      <c r="K43" s="65">
        <v>482.73899999999998</v>
      </c>
      <c r="L43" s="65">
        <v>1448.0920000000001</v>
      </c>
      <c r="M43" s="65">
        <v>187.482</v>
      </c>
      <c r="N43" s="65">
        <v>98.929000000000002</v>
      </c>
      <c r="O43" s="65">
        <v>2112.1019999999999</v>
      </c>
      <c r="P43" s="65">
        <v>368.93099999999998</v>
      </c>
      <c r="Q43" s="65">
        <v>6985.9480000000003</v>
      </c>
      <c r="R43" s="66" t="s">
        <v>93</v>
      </c>
      <c r="S43" s="237"/>
    </row>
    <row r="44" spans="2:19" x14ac:dyDescent="0.35">
      <c r="B44" s="234"/>
      <c r="C44" s="64" t="s">
        <v>78</v>
      </c>
      <c r="D44" s="65">
        <v>48.158000000000001</v>
      </c>
      <c r="E44" s="65">
        <v>196.923</v>
      </c>
      <c r="F44" s="65">
        <v>466.05500000000001</v>
      </c>
      <c r="G44" s="65">
        <v>1034.4359999999999</v>
      </c>
      <c r="H44" s="65">
        <v>158.55500000000001</v>
      </c>
      <c r="I44" s="65">
        <v>98.055000000000007</v>
      </c>
      <c r="J44" s="65">
        <v>107.02</v>
      </c>
      <c r="K44" s="65">
        <v>395.202</v>
      </c>
      <c r="L44" s="65">
        <v>1359.9860000000001</v>
      </c>
      <c r="M44" s="65">
        <v>119.15300000000001</v>
      </c>
      <c r="N44" s="65">
        <v>81.840999999999994</v>
      </c>
      <c r="O44" s="65">
        <v>1680.0989999999999</v>
      </c>
      <c r="P44" s="65">
        <v>328.34399999999999</v>
      </c>
      <c r="Q44" s="65">
        <v>6073.8270000000002</v>
      </c>
      <c r="R44" s="66" t="s">
        <v>94</v>
      </c>
      <c r="S44" s="237"/>
    </row>
    <row r="45" spans="2:19" x14ac:dyDescent="0.35">
      <c r="B45" s="234"/>
      <c r="C45" s="64" t="s">
        <v>79</v>
      </c>
      <c r="D45" s="65">
        <v>51.988999999999997</v>
      </c>
      <c r="E45" s="65">
        <v>196.846</v>
      </c>
      <c r="F45" s="65">
        <v>517.22299999999996</v>
      </c>
      <c r="G45" s="65">
        <v>1131.502</v>
      </c>
      <c r="H45" s="65">
        <v>176.72800000000001</v>
      </c>
      <c r="I45" s="65">
        <v>107.202</v>
      </c>
      <c r="J45" s="65">
        <v>112.46599999999999</v>
      </c>
      <c r="K45" s="65">
        <v>420.79599999999999</v>
      </c>
      <c r="L45" s="65">
        <v>1338.0740000000001</v>
      </c>
      <c r="M45" s="65">
        <v>122.76</v>
      </c>
      <c r="N45" s="65">
        <v>118.047</v>
      </c>
      <c r="O45" s="65">
        <v>1595.5309999999999</v>
      </c>
      <c r="P45" s="65">
        <v>312.85500000000002</v>
      </c>
      <c r="Q45" s="65">
        <v>6202.0190000000002</v>
      </c>
      <c r="R45" s="66" t="s">
        <v>95</v>
      </c>
      <c r="S45" s="237"/>
    </row>
    <row r="46" spans="2:19" x14ac:dyDescent="0.35">
      <c r="B46" s="234"/>
      <c r="C46" s="64" t="s">
        <v>80</v>
      </c>
      <c r="D46" s="65">
        <v>77.382000000000005</v>
      </c>
      <c r="E46" s="65">
        <v>287.875</v>
      </c>
      <c r="F46" s="65">
        <v>806.60599999999999</v>
      </c>
      <c r="G46" s="65">
        <v>1513.61</v>
      </c>
      <c r="H46" s="65">
        <v>183.55</v>
      </c>
      <c r="I46" s="65">
        <v>136.01</v>
      </c>
      <c r="J46" s="65">
        <v>143.376</v>
      </c>
      <c r="K46" s="65">
        <v>499.762</v>
      </c>
      <c r="L46" s="65">
        <v>1689.694</v>
      </c>
      <c r="M46" s="65">
        <v>165.65600000000001</v>
      </c>
      <c r="N46" s="65">
        <v>133.96299999999999</v>
      </c>
      <c r="O46" s="65">
        <v>2166.7089999999998</v>
      </c>
      <c r="P46" s="65">
        <v>416.13400000000001</v>
      </c>
      <c r="Q46" s="65">
        <v>8220.3269999999993</v>
      </c>
      <c r="R46" s="66" t="s">
        <v>96</v>
      </c>
      <c r="S46" s="237"/>
    </row>
    <row r="47" spans="2:19" x14ac:dyDescent="0.35">
      <c r="B47" s="235"/>
      <c r="C47" s="96" t="s">
        <v>81</v>
      </c>
      <c r="D47" s="65">
        <v>47.488999999999997</v>
      </c>
      <c r="E47" s="65">
        <v>212.393</v>
      </c>
      <c r="F47" s="65">
        <v>670.27800000000002</v>
      </c>
      <c r="G47" s="65">
        <v>1204.711</v>
      </c>
      <c r="H47" s="65">
        <v>153.184</v>
      </c>
      <c r="I47" s="65">
        <v>142.04599999999999</v>
      </c>
      <c r="J47" s="65">
        <v>117.517</v>
      </c>
      <c r="K47" s="65">
        <v>351.44</v>
      </c>
      <c r="L47" s="65">
        <v>1397.232</v>
      </c>
      <c r="M47" s="65">
        <v>147.88</v>
      </c>
      <c r="N47" s="65">
        <v>103.444</v>
      </c>
      <c r="O47" s="65">
        <v>1606.7650000000001</v>
      </c>
      <c r="P47" s="65">
        <v>329.71</v>
      </c>
      <c r="Q47" s="65">
        <v>6484.0889999999999</v>
      </c>
      <c r="R47" s="97" t="s">
        <v>97</v>
      </c>
      <c r="S47" s="238"/>
    </row>
    <row r="48" spans="2:19" x14ac:dyDescent="0.35">
      <c r="B48" s="282" t="s">
        <v>85</v>
      </c>
      <c r="C48" s="283"/>
      <c r="D48" s="69">
        <v>671.68600000000004</v>
      </c>
      <c r="E48" s="69">
        <v>2797.248</v>
      </c>
      <c r="F48" s="69">
        <v>6811.7560000000003</v>
      </c>
      <c r="G48" s="69">
        <v>13825.433000000001</v>
      </c>
      <c r="H48" s="69">
        <v>1968.0989999999999</v>
      </c>
      <c r="I48" s="69">
        <v>1529.2049999999999</v>
      </c>
      <c r="J48" s="69">
        <v>1434.299</v>
      </c>
      <c r="K48" s="69">
        <v>4968.335</v>
      </c>
      <c r="L48" s="69">
        <v>17623.295999999998</v>
      </c>
      <c r="M48" s="69">
        <v>1775.1079999999999</v>
      </c>
      <c r="N48" s="69">
        <v>1241.1510000000001</v>
      </c>
      <c r="O48" s="69">
        <v>22926.54</v>
      </c>
      <c r="P48" s="69">
        <v>4348.2060000000001</v>
      </c>
      <c r="Q48" s="69">
        <v>81920.361999999994</v>
      </c>
      <c r="R48" s="284" t="s">
        <v>98</v>
      </c>
      <c r="S48" s="285"/>
    </row>
    <row r="49" spans="2:19" x14ac:dyDescent="0.35">
      <c r="B49" s="233">
        <v>2024</v>
      </c>
      <c r="C49" s="64" t="s">
        <v>70</v>
      </c>
      <c r="D49" s="65">
        <v>77.774000000000001</v>
      </c>
      <c r="E49" s="65">
        <v>242.49600000000001</v>
      </c>
      <c r="F49" s="65">
        <v>890.29899999999998</v>
      </c>
      <c r="G49" s="65">
        <v>1348.422</v>
      </c>
      <c r="H49" s="65">
        <v>177.91900000000001</v>
      </c>
      <c r="I49" s="65">
        <v>142.10900000000001</v>
      </c>
      <c r="J49" s="65">
        <v>134.125</v>
      </c>
      <c r="K49" s="65">
        <v>482.46100000000001</v>
      </c>
      <c r="L49" s="65">
        <v>1733.982</v>
      </c>
      <c r="M49" s="65">
        <v>166.369</v>
      </c>
      <c r="N49" s="65">
        <v>112.209</v>
      </c>
      <c r="O49" s="65">
        <v>1888.8040000000001</v>
      </c>
      <c r="P49" s="65">
        <v>383.39600000000002</v>
      </c>
      <c r="Q49" s="65">
        <v>7780.3649999999998</v>
      </c>
      <c r="R49" s="66" t="s">
        <v>86</v>
      </c>
      <c r="S49" s="236">
        <v>2024</v>
      </c>
    </row>
    <row r="50" spans="2:19" x14ac:dyDescent="0.35">
      <c r="B50" s="234"/>
      <c r="C50" s="64" t="s">
        <v>71</v>
      </c>
      <c r="D50" s="65">
        <v>89.876000000000005</v>
      </c>
      <c r="E50" s="65">
        <v>268.52</v>
      </c>
      <c r="F50" s="65">
        <v>756.39</v>
      </c>
      <c r="G50" s="65">
        <v>1403.3</v>
      </c>
      <c r="H50" s="65">
        <v>171.23500000000001</v>
      </c>
      <c r="I50" s="65">
        <v>128.15199999999999</v>
      </c>
      <c r="J50" s="65">
        <v>134.262</v>
      </c>
      <c r="K50" s="65">
        <v>491.81299999999999</v>
      </c>
      <c r="L50" s="65">
        <v>1532.568</v>
      </c>
      <c r="M50" s="65">
        <v>164.14500000000001</v>
      </c>
      <c r="N50" s="65">
        <v>114.90600000000001</v>
      </c>
      <c r="O50" s="65">
        <v>2083.3580000000002</v>
      </c>
      <c r="P50" s="65">
        <v>404.17700000000002</v>
      </c>
      <c r="Q50" s="65">
        <v>7742.7020000000002</v>
      </c>
      <c r="R50" s="66" t="s">
        <v>87</v>
      </c>
      <c r="S50" s="237"/>
    </row>
    <row r="51" spans="2:19" x14ac:dyDescent="0.35">
      <c r="B51" s="234"/>
      <c r="C51" s="64" t="s">
        <v>72</v>
      </c>
      <c r="D51" s="65">
        <v>73.221000000000004</v>
      </c>
      <c r="E51" s="65">
        <v>194.16200000000001</v>
      </c>
      <c r="F51" s="65">
        <v>609.96400000000006</v>
      </c>
      <c r="G51" s="65">
        <v>1171.7829999999999</v>
      </c>
      <c r="H51" s="65">
        <v>183.822</v>
      </c>
      <c r="I51" s="65">
        <v>131.73699999999999</v>
      </c>
      <c r="J51" s="65">
        <v>128.34100000000001</v>
      </c>
      <c r="K51" s="65">
        <v>373.04</v>
      </c>
      <c r="L51" s="65">
        <v>1182.8340000000001</v>
      </c>
      <c r="M51" s="65">
        <v>121.334</v>
      </c>
      <c r="N51" s="65">
        <v>84.873000000000005</v>
      </c>
      <c r="O51" s="65">
        <v>2157.442</v>
      </c>
      <c r="P51" s="65">
        <v>390.02600000000001</v>
      </c>
      <c r="Q51" s="65">
        <v>6802.5789999999997</v>
      </c>
      <c r="R51" s="66" t="s">
        <v>88</v>
      </c>
      <c r="S51" s="237"/>
    </row>
    <row r="52" spans="2:19" x14ac:dyDescent="0.35">
      <c r="B52" s="234"/>
      <c r="C52" s="64" t="s">
        <v>73</v>
      </c>
      <c r="D52" s="65">
        <v>53.875999999999998</v>
      </c>
      <c r="E52" s="65">
        <v>214.56200000000001</v>
      </c>
      <c r="F52" s="65">
        <v>524.34100000000001</v>
      </c>
      <c r="G52" s="65">
        <v>1124.422</v>
      </c>
      <c r="H52" s="65">
        <v>127.426</v>
      </c>
      <c r="I52" s="65">
        <v>103.42</v>
      </c>
      <c r="J52" s="65">
        <v>111.95399999999999</v>
      </c>
      <c r="K52" s="65">
        <v>405.21300000000002</v>
      </c>
      <c r="L52" s="65">
        <v>1489.3530000000001</v>
      </c>
      <c r="M52" s="65">
        <v>128.286</v>
      </c>
      <c r="N52" s="65">
        <v>86.319000000000003</v>
      </c>
      <c r="O52" s="65">
        <v>2453.665</v>
      </c>
      <c r="P52" s="65">
        <v>377.565</v>
      </c>
      <c r="Q52" s="65">
        <v>7200.402</v>
      </c>
      <c r="R52" s="66" t="s">
        <v>89</v>
      </c>
      <c r="S52" s="237"/>
    </row>
    <row r="53" spans="2:19" x14ac:dyDescent="0.35">
      <c r="B53" s="234"/>
      <c r="C53" s="64" t="s">
        <v>74</v>
      </c>
      <c r="D53" s="65">
        <v>45.822000000000003</v>
      </c>
      <c r="E53" s="65">
        <v>224.833</v>
      </c>
      <c r="F53" s="65">
        <v>498.67500000000001</v>
      </c>
      <c r="G53" s="65">
        <v>914.19799999999998</v>
      </c>
      <c r="H53" s="65">
        <v>143.33500000000001</v>
      </c>
      <c r="I53" s="65">
        <v>107.312</v>
      </c>
      <c r="J53" s="65">
        <v>111.874</v>
      </c>
      <c r="K53" s="65">
        <v>390.65800000000002</v>
      </c>
      <c r="L53" s="65">
        <v>1152.1410000000001</v>
      </c>
      <c r="M53" s="65">
        <v>128.24299999999999</v>
      </c>
      <c r="N53" s="65">
        <v>92.206000000000003</v>
      </c>
      <c r="O53" s="65">
        <v>1823.1859999999999</v>
      </c>
      <c r="P53" s="65">
        <v>343.51499999999999</v>
      </c>
      <c r="Q53" s="65">
        <v>5975.9979999999996</v>
      </c>
      <c r="R53" s="66" t="s">
        <v>90</v>
      </c>
      <c r="S53" s="237"/>
    </row>
    <row r="54" spans="2:19" x14ac:dyDescent="0.35">
      <c r="B54" s="234"/>
      <c r="C54" s="64" t="s">
        <v>75</v>
      </c>
      <c r="D54" s="65">
        <v>49.18</v>
      </c>
      <c r="E54" s="65">
        <v>257.327</v>
      </c>
      <c r="F54" s="65">
        <v>621.38800000000003</v>
      </c>
      <c r="G54" s="65">
        <v>1658.5940000000001</v>
      </c>
      <c r="H54" s="65">
        <v>181.06200000000001</v>
      </c>
      <c r="I54" s="65">
        <v>146.73699999999999</v>
      </c>
      <c r="J54" s="65">
        <v>162.09</v>
      </c>
      <c r="K54" s="65">
        <v>476.26100000000002</v>
      </c>
      <c r="L54" s="65">
        <v>2044.307</v>
      </c>
      <c r="M54" s="65">
        <v>170.79300000000001</v>
      </c>
      <c r="N54" s="65">
        <v>119.03400000000001</v>
      </c>
      <c r="O54" s="65">
        <v>3223.1419999999998</v>
      </c>
      <c r="P54" s="65">
        <v>503.19400000000002</v>
      </c>
      <c r="Q54" s="65">
        <v>9613.1090000000004</v>
      </c>
      <c r="R54" s="66" t="s">
        <v>91</v>
      </c>
      <c r="S54" s="237"/>
    </row>
    <row r="55" spans="2:19" x14ac:dyDescent="0.35">
      <c r="B55" s="234"/>
      <c r="C55" s="64" t="s">
        <v>76</v>
      </c>
      <c r="D55" s="65">
        <v>56.713000000000001</v>
      </c>
      <c r="E55" s="65">
        <v>347.029</v>
      </c>
      <c r="F55" s="65">
        <v>529.35199999999998</v>
      </c>
      <c r="G55" s="65">
        <v>1248.375</v>
      </c>
      <c r="H55" s="65">
        <v>206.36699999999999</v>
      </c>
      <c r="I55" s="65">
        <v>144.56299999999999</v>
      </c>
      <c r="J55" s="65">
        <v>154.78899999999999</v>
      </c>
      <c r="K55" s="65">
        <v>490.94600000000003</v>
      </c>
      <c r="L55" s="65">
        <v>1691.4929999999999</v>
      </c>
      <c r="M55" s="65">
        <v>195.21199999999999</v>
      </c>
      <c r="N55" s="65">
        <v>109.93300000000001</v>
      </c>
      <c r="O55" s="65">
        <v>2389.482</v>
      </c>
      <c r="P55" s="65">
        <v>498.608</v>
      </c>
      <c r="Q55" s="65">
        <v>8062.8620000000001</v>
      </c>
      <c r="R55" s="66" t="s">
        <v>92</v>
      </c>
      <c r="S55" s="237"/>
    </row>
    <row r="56" spans="2:19" x14ac:dyDescent="0.35">
      <c r="B56" s="234"/>
      <c r="C56" s="64" t="s">
        <v>77</v>
      </c>
      <c r="D56" s="65">
        <v>46.350999999999999</v>
      </c>
      <c r="E56" s="65">
        <v>246.84399999999999</v>
      </c>
      <c r="F56" s="65">
        <v>458.74299999999999</v>
      </c>
      <c r="G56" s="65">
        <v>1137.097</v>
      </c>
      <c r="H56" s="65">
        <v>161.81700000000001</v>
      </c>
      <c r="I56" s="65">
        <v>107.429</v>
      </c>
      <c r="J56" s="65">
        <v>124.35899999999999</v>
      </c>
      <c r="K56" s="65">
        <v>353.46899999999999</v>
      </c>
      <c r="L56" s="65">
        <v>1334.5740000000001</v>
      </c>
      <c r="M56" s="65">
        <v>159.07</v>
      </c>
      <c r="N56" s="65">
        <v>105.663</v>
      </c>
      <c r="O56" s="65">
        <v>1860.7560000000001</v>
      </c>
      <c r="P56" s="65">
        <v>351.791</v>
      </c>
      <c r="Q56" s="65">
        <v>6447.9629999999997</v>
      </c>
      <c r="R56" s="66" t="s">
        <v>93</v>
      </c>
      <c r="S56" s="237"/>
    </row>
    <row r="57" spans="2:19" x14ac:dyDescent="0.35">
      <c r="B57" s="234"/>
      <c r="C57" s="64" t="s">
        <v>78</v>
      </c>
      <c r="D57" s="65">
        <v>40.963999999999999</v>
      </c>
      <c r="E57" s="65">
        <v>174.52</v>
      </c>
      <c r="F57" s="65">
        <v>485.57499999999999</v>
      </c>
      <c r="G57" s="65">
        <v>864.82600000000002</v>
      </c>
      <c r="H57" s="65">
        <v>186.00399999999999</v>
      </c>
      <c r="I57" s="65">
        <v>86.05</v>
      </c>
      <c r="J57" s="65">
        <v>98.597999999999999</v>
      </c>
      <c r="K57" s="65">
        <v>304.209</v>
      </c>
      <c r="L57" s="65">
        <v>1106.9390000000001</v>
      </c>
      <c r="M57" s="65">
        <v>116.864</v>
      </c>
      <c r="N57" s="65">
        <v>99.167000000000002</v>
      </c>
      <c r="O57" s="65">
        <v>2002.942</v>
      </c>
      <c r="P57" s="65">
        <v>340.80900000000003</v>
      </c>
      <c r="Q57" s="65">
        <v>5907.4669999999996</v>
      </c>
      <c r="R57" s="66" t="s">
        <v>94</v>
      </c>
      <c r="S57" s="237"/>
    </row>
    <row r="58" spans="2:19" x14ac:dyDescent="0.35">
      <c r="B58" s="234"/>
      <c r="C58" s="64" t="s">
        <v>79</v>
      </c>
      <c r="D58" s="65">
        <v>43.362000000000002</v>
      </c>
      <c r="E58" s="65">
        <v>185.922</v>
      </c>
      <c r="F58" s="65">
        <v>491.44</v>
      </c>
      <c r="G58" s="65">
        <v>962.40800000000002</v>
      </c>
      <c r="H58" s="65">
        <v>133.571</v>
      </c>
      <c r="I58" s="65">
        <v>105.182</v>
      </c>
      <c r="J58" s="65">
        <v>104.93600000000001</v>
      </c>
      <c r="K58" s="65">
        <v>306.27600000000001</v>
      </c>
      <c r="L58" s="65">
        <v>1188.2360000000001</v>
      </c>
      <c r="M58" s="65">
        <v>127.667</v>
      </c>
      <c r="N58" s="65">
        <v>79.322999999999993</v>
      </c>
      <c r="O58" s="65">
        <v>1747.3489999999999</v>
      </c>
      <c r="P58" s="65">
        <v>318.09300000000002</v>
      </c>
      <c r="Q58" s="65">
        <v>5793.7650000000003</v>
      </c>
      <c r="R58" s="66" t="s">
        <v>95</v>
      </c>
      <c r="S58" s="237"/>
    </row>
    <row r="59" spans="2:19" x14ac:dyDescent="0.35">
      <c r="B59" s="234"/>
      <c r="C59" s="64" t="s">
        <v>80</v>
      </c>
      <c r="D59" s="65">
        <v>67.549000000000007</v>
      </c>
      <c r="E59" s="65">
        <v>239.05500000000001</v>
      </c>
      <c r="F59" s="65">
        <v>805.08699999999999</v>
      </c>
      <c r="G59" s="65">
        <v>1279.2249999999999</v>
      </c>
      <c r="H59" s="65">
        <v>141.31100000000001</v>
      </c>
      <c r="I59" s="65">
        <v>117.846</v>
      </c>
      <c r="J59" s="65">
        <v>129.649</v>
      </c>
      <c r="K59" s="65">
        <v>394.02600000000001</v>
      </c>
      <c r="L59" s="65">
        <v>1646.4069999999999</v>
      </c>
      <c r="M59" s="65">
        <v>160.87899999999999</v>
      </c>
      <c r="N59" s="65">
        <v>113.91200000000001</v>
      </c>
      <c r="O59" s="65">
        <v>2403.0210000000002</v>
      </c>
      <c r="P59" s="65">
        <v>408.75900000000001</v>
      </c>
      <c r="Q59" s="65">
        <v>7906.7259999999997</v>
      </c>
      <c r="R59" s="66" t="s">
        <v>96</v>
      </c>
      <c r="S59" s="237"/>
    </row>
    <row r="60" spans="2:19" x14ac:dyDescent="0.35">
      <c r="B60" s="235"/>
      <c r="C60" s="96" t="s">
        <v>81</v>
      </c>
      <c r="D60" s="65">
        <v>55.87</v>
      </c>
      <c r="E60" s="65">
        <v>213.47399999999999</v>
      </c>
      <c r="F60" s="65">
        <v>797.49300000000005</v>
      </c>
      <c r="G60" s="65">
        <v>1178.393</v>
      </c>
      <c r="H60" s="65">
        <v>142.971</v>
      </c>
      <c r="I60" s="65">
        <v>135.04599999999999</v>
      </c>
      <c r="J60" s="65">
        <v>120.04</v>
      </c>
      <c r="K60" s="65">
        <v>344.68799999999999</v>
      </c>
      <c r="L60" s="65">
        <v>1479.93</v>
      </c>
      <c r="M60" s="65">
        <v>130.279</v>
      </c>
      <c r="N60" s="65">
        <v>87.825000000000003</v>
      </c>
      <c r="O60" s="65">
        <v>1890.3920000000001</v>
      </c>
      <c r="P60" s="65">
        <v>347.02</v>
      </c>
      <c r="Q60" s="65">
        <v>6923.4210000000003</v>
      </c>
      <c r="R60" s="97" t="s">
        <v>97</v>
      </c>
      <c r="S60" s="238"/>
    </row>
    <row r="61" spans="2:19" x14ac:dyDescent="0.35">
      <c r="B61" s="282" t="s">
        <v>85</v>
      </c>
      <c r="C61" s="283"/>
      <c r="D61" s="69">
        <v>700.55799999999999</v>
      </c>
      <c r="E61" s="69">
        <v>2808.7440000000001</v>
      </c>
      <c r="F61" s="69">
        <v>7468.7470000000003</v>
      </c>
      <c r="G61" s="69">
        <v>14291.043</v>
      </c>
      <c r="H61" s="69">
        <v>1956.84</v>
      </c>
      <c r="I61" s="69">
        <v>1455.5830000000001</v>
      </c>
      <c r="J61" s="69">
        <v>1515.0170000000001</v>
      </c>
      <c r="K61" s="69">
        <v>4813.0600000000004</v>
      </c>
      <c r="L61" s="69">
        <v>17582.763999999999</v>
      </c>
      <c r="M61" s="69">
        <v>1769.1410000000001</v>
      </c>
      <c r="N61" s="69">
        <v>1205.3699999999999</v>
      </c>
      <c r="O61" s="69">
        <v>25923.539000000001</v>
      </c>
      <c r="P61" s="69">
        <v>4666.9530000000004</v>
      </c>
      <c r="Q61" s="69">
        <v>86157.358999999997</v>
      </c>
      <c r="R61" s="284" t="s">
        <v>98</v>
      </c>
      <c r="S61" s="285"/>
    </row>
    <row r="62" spans="2:19" x14ac:dyDescent="0.35">
      <c r="B62" s="233">
        <v>2025</v>
      </c>
      <c r="C62" s="64" t="s">
        <v>70</v>
      </c>
      <c r="D62" s="65">
        <v>117.434</v>
      </c>
      <c r="E62" s="65">
        <v>344.57799999999997</v>
      </c>
      <c r="F62" s="65">
        <v>845.024</v>
      </c>
      <c r="G62" s="65">
        <v>1250.3610000000001</v>
      </c>
      <c r="H62" s="65">
        <v>208.21</v>
      </c>
      <c r="I62" s="65">
        <v>220.25</v>
      </c>
      <c r="J62" s="65">
        <v>150.505</v>
      </c>
      <c r="K62" s="65">
        <v>384.589</v>
      </c>
      <c r="L62" s="65">
        <v>1804.8309999999999</v>
      </c>
      <c r="M62" s="65">
        <v>164.05099999999999</v>
      </c>
      <c r="N62" s="65">
        <v>114.658</v>
      </c>
      <c r="O62" s="65">
        <v>2465.808</v>
      </c>
      <c r="P62" s="65">
        <v>306.51600000000002</v>
      </c>
      <c r="Q62" s="65">
        <v>8376.8150000000005</v>
      </c>
      <c r="R62" s="66" t="s">
        <v>86</v>
      </c>
      <c r="S62" s="236">
        <v>2025</v>
      </c>
    </row>
    <row r="63" spans="2:19" x14ac:dyDescent="0.35">
      <c r="B63" s="234"/>
      <c r="C63" s="64" t="s">
        <v>71</v>
      </c>
      <c r="D63" s="65">
        <v>94.084000000000003</v>
      </c>
      <c r="E63" s="65">
        <v>288.93200000000002</v>
      </c>
      <c r="F63" s="65">
        <v>629.63599999999997</v>
      </c>
      <c r="G63" s="65">
        <v>1056.4970000000001</v>
      </c>
      <c r="H63" s="65">
        <v>183.23400000000001</v>
      </c>
      <c r="I63" s="65">
        <v>189.166</v>
      </c>
      <c r="J63" s="65">
        <v>134.00299999999999</v>
      </c>
      <c r="K63" s="65">
        <v>339.64</v>
      </c>
      <c r="L63" s="65">
        <v>1559.5409999999999</v>
      </c>
      <c r="M63" s="65">
        <v>135.78200000000001</v>
      </c>
      <c r="N63" s="65">
        <v>101.194</v>
      </c>
      <c r="O63" s="65">
        <v>2200.4780000000001</v>
      </c>
      <c r="P63" s="65">
        <v>274.41300000000001</v>
      </c>
      <c r="Q63" s="65">
        <v>7186.6</v>
      </c>
      <c r="R63" s="66" t="s">
        <v>87</v>
      </c>
      <c r="S63" s="237"/>
    </row>
    <row r="64" spans="2:19" x14ac:dyDescent="0.35">
      <c r="B64" s="234"/>
      <c r="C64" s="64" t="s">
        <v>72</v>
      </c>
      <c r="D64" s="65">
        <v>113.44</v>
      </c>
      <c r="E64" s="65">
        <v>321.18200000000002</v>
      </c>
      <c r="F64" s="65">
        <v>752.88099999999997</v>
      </c>
      <c r="G64" s="65">
        <v>1186.4680000000001</v>
      </c>
      <c r="H64" s="65">
        <v>213.27099999999999</v>
      </c>
      <c r="I64" s="65">
        <v>272.89499999999998</v>
      </c>
      <c r="J64" s="65">
        <v>137.435</v>
      </c>
      <c r="K64" s="65">
        <v>437.77800000000002</v>
      </c>
      <c r="L64" s="65">
        <v>1943.5250000000001</v>
      </c>
      <c r="M64" s="65">
        <v>140.62200000000001</v>
      </c>
      <c r="N64" s="65">
        <v>107.852</v>
      </c>
      <c r="O64" s="65">
        <v>3291.9879999999998</v>
      </c>
      <c r="P64" s="65">
        <v>372.02800000000002</v>
      </c>
      <c r="Q64" s="65">
        <v>9291.3649999999998</v>
      </c>
      <c r="R64" s="66" t="s">
        <v>88</v>
      </c>
      <c r="S64" s="237"/>
    </row>
    <row r="65" spans="2:19" x14ac:dyDescent="0.35">
      <c r="B65" s="234"/>
      <c r="C65" s="64" t="s">
        <v>73</v>
      </c>
      <c r="D65" s="65">
        <v>71.703000000000003</v>
      </c>
      <c r="E65" s="65">
        <v>277.07600000000002</v>
      </c>
      <c r="F65" s="65">
        <v>485.774</v>
      </c>
      <c r="G65" s="65">
        <v>912.12699999999995</v>
      </c>
      <c r="H65" s="65">
        <v>168.99600000000001</v>
      </c>
      <c r="I65" s="65">
        <v>181.35300000000001</v>
      </c>
      <c r="J65" s="65">
        <v>120.693</v>
      </c>
      <c r="K65" s="65">
        <v>305.101</v>
      </c>
      <c r="L65" s="65">
        <v>1607.1610000000001</v>
      </c>
      <c r="M65" s="65">
        <v>137.4</v>
      </c>
      <c r="N65" s="65">
        <v>97.756</v>
      </c>
      <c r="O65" s="65">
        <v>1945.184</v>
      </c>
      <c r="P65" s="65">
        <v>255.417</v>
      </c>
      <c r="Q65" s="65">
        <v>6565.741</v>
      </c>
      <c r="R65" s="66" t="s">
        <v>89</v>
      </c>
      <c r="S65" s="237"/>
    </row>
    <row r="66" spans="2:19" x14ac:dyDescent="0.35">
      <c r="B66" s="234"/>
      <c r="C66" s="64" t="s">
        <v>74</v>
      </c>
      <c r="D66" s="65">
        <v>92.739000000000004</v>
      </c>
      <c r="E66" s="65">
        <v>319.35599999999999</v>
      </c>
      <c r="F66" s="65">
        <v>585.28300000000002</v>
      </c>
      <c r="G66" s="65">
        <v>1064.3130000000001</v>
      </c>
      <c r="H66" s="65">
        <v>201.05600000000001</v>
      </c>
      <c r="I66" s="65">
        <v>217.18700000000001</v>
      </c>
      <c r="J66" s="65">
        <v>140.76400000000001</v>
      </c>
      <c r="K66" s="65">
        <v>347.46100000000001</v>
      </c>
      <c r="L66" s="65">
        <v>1577.58</v>
      </c>
      <c r="M66" s="65">
        <v>158.654</v>
      </c>
      <c r="N66" s="65">
        <v>112.29</v>
      </c>
      <c r="O66" s="65">
        <v>2205.7280000000001</v>
      </c>
      <c r="P66" s="65">
        <v>310.923</v>
      </c>
      <c r="Q66" s="65">
        <v>7333.3339999999998</v>
      </c>
      <c r="R66" s="66" t="s">
        <v>90</v>
      </c>
      <c r="S66" s="237"/>
    </row>
    <row r="67" spans="2:19" x14ac:dyDescent="0.35">
      <c r="B67" s="234"/>
      <c r="C67" s="64" t="s">
        <v>75</v>
      </c>
      <c r="D67" s="65">
        <v>78.299000000000007</v>
      </c>
      <c r="E67" s="65">
        <v>297.12599999999998</v>
      </c>
      <c r="F67" s="65">
        <v>552.03499999999997</v>
      </c>
      <c r="G67" s="65">
        <v>1099.527</v>
      </c>
      <c r="H67" s="65">
        <v>196.607</v>
      </c>
      <c r="I67" s="65">
        <v>198.965</v>
      </c>
      <c r="J67" s="65">
        <v>126.1</v>
      </c>
      <c r="K67" s="65">
        <v>337.79700000000003</v>
      </c>
      <c r="L67" s="65">
        <v>1917.175</v>
      </c>
      <c r="M67" s="65">
        <v>143.965</v>
      </c>
      <c r="N67" s="65">
        <v>102.72199999999999</v>
      </c>
      <c r="O67" s="65">
        <v>2434.0700000000002</v>
      </c>
      <c r="P67" s="65">
        <v>302.512</v>
      </c>
      <c r="Q67" s="65">
        <v>7786.9</v>
      </c>
      <c r="R67" s="66" t="s">
        <v>91</v>
      </c>
      <c r="S67" s="237"/>
    </row>
    <row r="68" spans="2:19" x14ac:dyDescent="0.35">
      <c r="B68" s="234"/>
      <c r="C68" s="64" t="s">
        <v>76</v>
      </c>
      <c r="D68" s="65">
        <v>94.438999999999993</v>
      </c>
      <c r="E68" s="65">
        <v>397.26799999999997</v>
      </c>
      <c r="F68" s="65">
        <v>639.77</v>
      </c>
      <c r="G68" s="65">
        <v>1211.471</v>
      </c>
      <c r="H68" s="65">
        <v>238.70699999999999</v>
      </c>
      <c r="I68" s="65">
        <v>264.87700000000001</v>
      </c>
      <c r="J68" s="65">
        <v>172.881</v>
      </c>
      <c r="K68" s="65">
        <v>416.36200000000002</v>
      </c>
      <c r="L68" s="65">
        <v>2019.941</v>
      </c>
      <c r="M68" s="65">
        <v>179.89400000000001</v>
      </c>
      <c r="N68" s="65">
        <v>127.777</v>
      </c>
      <c r="O68" s="65">
        <v>2569.607</v>
      </c>
      <c r="P68" s="65">
        <v>360.52699999999999</v>
      </c>
      <c r="Q68" s="65">
        <v>8693.5210000000006</v>
      </c>
      <c r="R68" s="66" t="s">
        <v>92</v>
      </c>
      <c r="S68" s="237"/>
    </row>
    <row r="69" spans="2:19" x14ac:dyDescent="0.35">
      <c r="B69" s="234"/>
      <c r="C69" s="64" t="s">
        <v>77</v>
      </c>
      <c r="D69" s="65">
        <v>87.042000000000002</v>
      </c>
      <c r="E69" s="65">
        <v>361.88799999999998</v>
      </c>
      <c r="F69" s="65">
        <v>637.62300000000005</v>
      </c>
      <c r="G69" s="65">
        <v>1091.4880000000001</v>
      </c>
      <c r="H69" s="65">
        <v>218.12899999999999</v>
      </c>
      <c r="I69" s="65">
        <v>227.00299999999999</v>
      </c>
      <c r="J69" s="65">
        <v>153.83799999999999</v>
      </c>
      <c r="K69" s="65">
        <v>396.98099999999999</v>
      </c>
      <c r="L69" s="65">
        <v>2023.4839999999999</v>
      </c>
      <c r="M69" s="65">
        <v>179.86099999999999</v>
      </c>
      <c r="N69" s="65">
        <v>118.209</v>
      </c>
      <c r="O69" s="65">
        <v>2371.2620000000002</v>
      </c>
      <c r="P69" s="65">
        <v>318.10700000000003</v>
      </c>
      <c r="Q69" s="65">
        <v>8184.915</v>
      </c>
      <c r="R69" s="66" t="s">
        <v>93</v>
      </c>
      <c r="S69" s="237"/>
    </row>
    <row r="70" spans="2:19" x14ac:dyDescent="0.35">
      <c r="B70" s="234"/>
      <c r="C70" s="64" t="s">
        <v>78</v>
      </c>
      <c r="D70" s="65">
        <v>75.935000000000002</v>
      </c>
      <c r="E70" s="65">
        <v>272.11799999999999</v>
      </c>
      <c r="F70" s="65">
        <v>530.10599999999999</v>
      </c>
      <c r="G70" s="65">
        <v>947.74400000000003</v>
      </c>
      <c r="H70" s="65">
        <v>169.14599999999999</v>
      </c>
      <c r="I70" s="65">
        <v>172.959</v>
      </c>
      <c r="J70" s="65">
        <v>119.04</v>
      </c>
      <c r="K70" s="65">
        <v>290.66300000000001</v>
      </c>
      <c r="L70" s="65">
        <v>1500.4110000000001</v>
      </c>
      <c r="M70" s="65">
        <v>133.79300000000001</v>
      </c>
      <c r="N70" s="65">
        <v>95.634</v>
      </c>
      <c r="O70" s="65">
        <v>1952.933</v>
      </c>
      <c r="P70" s="65">
        <v>252.45400000000001</v>
      </c>
      <c r="Q70" s="65">
        <v>6512.9359999999997</v>
      </c>
      <c r="R70" s="66" t="s">
        <v>94</v>
      </c>
      <c r="S70" s="237"/>
    </row>
    <row r="71" spans="2:19" x14ac:dyDescent="0.35">
      <c r="B71" s="234"/>
      <c r="C71" s="64" t="s">
        <v>79</v>
      </c>
      <c r="D71" s="65">
        <v>90.914000000000001</v>
      </c>
      <c r="E71" s="65">
        <v>319.10700000000003</v>
      </c>
      <c r="F71" s="65">
        <v>626.23</v>
      </c>
      <c r="G71" s="65">
        <v>1076.654</v>
      </c>
      <c r="H71" s="65">
        <v>189.465</v>
      </c>
      <c r="I71" s="65">
        <v>191.35</v>
      </c>
      <c r="J71" s="65">
        <v>134.26599999999999</v>
      </c>
      <c r="K71" s="65">
        <v>338.27600000000001</v>
      </c>
      <c r="L71" s="65">
        <v>1666.2339999999999</v>
      </c>
      <c r="M71" s="65">
        <v>142.52000000000001</v>
      </c>
      <c r="N71" s="65">
        <v>107.498</v>
      </c>
      <c r="O71" s="65">
        <v>2195.6930000000002</v>
      </c>
      <c r="P71" s="65">
        <v>283.15800000000002</v>
      </c>
      <c r="Q71" s="65">
        <v>7361.3649999999998</v>
      </c>
      <c r="R71" s="66" t="s">
        <v>95</v>
      </c>
      <c r="S71" s="237"/>
    </row>
    <row r="72" spans="2:19" x14ac:dyDescent="0.35">
      <c r="B72" s="234"/>
      <c r="C72" s="64" t="s">
        <v>80</v>
      </c>
      <c r="D72" s="65">
        <v>119.19199999999999</v>
      </c>
      <c r="E72" s="65">
        <v>357.69799999999998</v>
      </c>
      <c r="F72" s="65">
        <v>847.37199999999996</v>
      </c>
      <c r="G72" s="65">
        <v>1230.059</v>
      </c>
      <c r="H72" s="65">
        <v>216.03899999999999</v>
      </c>
      <c r="I72" s="65">
        <v>232.66</v>
      </c>
      <c r="J72" s="65">
        <v>146.16399999999999</v>
      </c>
      <c r="K72" s="65">
        <v>378.62599999999998</v>
      </c>
      <c r="L72" s="65">
        <v>1921.0160000000001</v>
      </c>
      <c r="M72" s="65">
        <v>176.61199999999999</v>
      </c>
      <c r="N72" s="65">
        <v>120.43300000000001</v>
      </c>
      <c r="O72" s="65">
        <v>2566.261</v>
      </c>
      <c r="P72" s="65">
        <v>323.66300000000001</v>
      </c>
      <c r="Q72" s="65">
        <v>8635.7950000000001</v>
      </c>
      <c r="R72" s="66" t="s">
        <v>96</v>
      </c>
      <c r="S72" s="237"/>
    </row>
    <row r="73" spans="2:19" x14ac:dyDescent="0.35">
      <c r="B73" s="235"/>
      <c r="C73" s="96" t="s">
        <v>81</v>
      </c>
      <c r="D73" s="65">
        <v>89.33</v>
      </c>
      <c r="E73" s="65">
        <v>296.68599999999998</v>
      </c>
      <c r="F73" s="65">
        <v>751.07299999999998</v>
      </c>
      <c r="G73" s="65">
        <v>1054.9960000000001</v>
      </c>
      <c r="H73" s="65">
        <v>177.96899999999999</v>
      </c>
      <c r="I73" s="65">
        <v>190.88800000000001</v>
      </c>
      <c r="J73" s="65">
        <v>125.976</v>
      </c>
      <c r="K73" s="65">
        <v>314.06099999999998</v>
      </c>
      <c r="L73" s="65">
        <v>1685.7650000000001</v>
      </c>
      <c r="M73" s="65">
        <v>147.71199999999999</v>
      </c>
      <c r="N73" s="65">
        <v>99.328000000000003</v>
      </c>
      <c r="O73" s="65">
        <v>2194.1390000000001</v>
      </c>
      <c r="P73" s="65">
        <v>266.303</v>
      </c>
      <c r="Q73" s="65">
        <v>7394.2259999999997</v>
      </c>
      <c r="R73" s="97" t="s">
        <v>97</v>
      </c>
      <c r="S73" s="238"/>
    </row>
    <row r="74" spans="2:19" x14ac:dyDescent="0.35">
      <c r="B74" s="282" t="s">
        <v>85</v>
      </c>
      <c r="C74" s="283"/>
      <c r="D74" s="69">
        <v>1124.5509999999999</v>
      </c>
      <c r="E74" s="69">
        <v>3853.0149999999999</v>
      </c>
      <c r="F74" s="69">
        <v>7882.8069999999998</v>
      </c>
      <c r="G74" s="69">
        <v>13181.705</v>
      </c>
      <c r="H74" s="69">
        <v>2380.8290000000002</v>
      </c>
      <c r="I74" s="69">
        <v>2559.5529999999999</v>
      </c>
      <c r="J74" s="69">
        <v>1661.665</v>
      </c>
      <c r="K74" s="69">
        <v>4287.335</v>
      </c>
      <c r="L74" s="69">
        <v>21226.664000000001</v>
      </c>
      <c r="M74" s="69">
        <v>1840.866</v>
      </c>
      <c r="N74" s="69">
        <v>1305.3510000000001</v>
      </c>
      <c r="O74" s="69">
        <v>28393.151000000002</v>
      </c>
      <c r="P74" s="69">
        <v>3626.0210000000002</v>
      </c>
      <c r="Q74" s="69">
        <v>93323.513000000006</v>
      </c>
      <c r="R74" s="284" t="s">
        <v>98</v>
      </c>
      <c r="S74" s="285"/>
    </row>
  </sheetData>
  <mergeCells count="22">
    <mergeCell ref="B62:B73"/>
    <mergeCell ref="S62:S73"/>
    <mergeCell ref="B74:C74"/>
    <mergeCell ref="R74:S74"/>
    <mergeCell ref="A2:E2"/>
    <mergeCell ref="A3:E3"/>
    <mergeCell ref="B35:C35"/>
    <mergeCell ref="R35:S35"/>
    <mergeCell ref="B10:B21"/>
    <mergeCell ref="S10:S21"/>
    <mergeCell ref="B22:C22"/>
    <mergeCell ref="R22:S22"/>
    <mergeCell ref="B23:B34"/>
    <mergeCell ref="S23:S34"/>
    <mergeCell ref="B49:B60"/>
    <mergeCell ref="S49:S60"/>
    <mergeCell ref="B61:C61"/>
    <mergeCell ref="R61:S61"/>
    <mergeCell ref="B36:B47"/>
    <mergeCell ref="S36:S47"/>
    <mergeCell ref="B48:C48"/>
    <mergeCell ref="R48:S48"/>
  </mergeCells>
  <pageMargins left="0.7" right="0.7" top="0.75" bottom="0.75" header="0.3" footer="0.3"/>
  <pageSetup paperSize="9" orientation="portrait" r:id="rId1"/>
  <headerFooter>
    <oddFooter>&amp;C&amp;1#&amp;"Calibri"&amp;11&amp;Kffa500CONFIDENTIAL▮▮مقيّد</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U139"/>
  <sheetViews>
    <sheetView showGridLines="0" topLeftCell="A81" zoomScale="50" zoomScaleNormal="50" workbookViewId="0">
      <selection activeCell="J150" sqref="J150"/>
    </sheetView>
  </sheetViews>
  <sheetFormatPr defaultColWidth="8.81640625" defaultRowHeight="14.5" x14ac:dyDescent="0.35"/>
  <cols>
    <col min="3" max="3" width="17.81640625" style="108" bestFit="1" customWidth="1"/>
    <col min="4" max="4" width="33" bestFit="1" customWidth="1"/>
    <col min="5" max="5" width="17.81640625" bestFit="1" customWidth="1"/>
    <col min="6" max="6" width="18.54296875" customWidth="1"/>
    <col min="7" max="7" width="21.453125" customWidth="1"/>
    <col min="8" max="8" width="22.453125" bestFit="1" customWidth="1"/>
    <col min="9" max="9" width="21.453125" customWidth="1"/>
    <col min="10" max="10" width="17.81640625" bestFit="1" customWidth="1"/>
    <col min="11" max="11" width="17.54296875" customWidth="1"/>
    <col min="12" max="12" width="20.453125" customWidth="1"/>
    <col min="13" max="13" width="18.54296875" customWidth="1"/>
    <col min="14" max="14" width="21.453125" customWidth="1"/>
    <col min="15" max="18" width="17.54296875" customWidth="1"/>
    <col min="19" max="19" width="19.453125" customWidth="1"/>
    <col min="20" max="20" width="17.54296875" style="108" customWidth="1"/>
    <col min="23" max="23" width="10.1796875" bestFit="1" customWidth="1"/>
  </cols>
  <sheetData>
    <row r="1" spans="1:21" x14ac:dyDescent="0.35">
      <c r="A1" s="9" t="s">
        <v>524</v>
      </c>
      <c r="C1"/>
      <c r="T1"/>
    </row>
    <row r="2" spans="1:21" x14ac:dyDescent="0.35">
      <c r="A2" s="232" t="s">
        <v>448</v>
      </c>
      <c r="B2" s="232"/>
      <c r="C2" s="232"/>
      <c r="D2" s="232"/>
      <c r="E2" s="232"/>
      <c r="T2"/>
    </row>
    <row r="3" spans="1:21" x14ac:dyDescent="0.35">
      <c r="A3" s="232" t="s">
        <v>449</v>
      </c>
      <c r="B3" s="232"/>
      <c r="C3" s="232"/>
      <c r="D3" s="232"/>
      <c r="E3" s="232"/>
      <c r="T3"/>
    </row>
    <row r="4" spans="1:21" x14ac:dyDescent="0.35">
      <c r="A4" s="9"/>
      <c r="B4" s="192"/>
      <c r="C4" s="192"/>
      <c r="D4" s="192"/>
      <c r="E4" s="192"/>
      <c r="T4"/>
    </row>
    <row r="6" spans="1:21" s="84" customFormat="1" ht="18" customHeight="1" x14ac:dyDescent="0.35">
      <c r="A6" s="10" t="s">
        <v>16</v>
      </c>
      <c r="B6" s="30" t="s">
        <v>362</v>
      </c>
      <c r="C6" s="107"/>
      <c r="D6" s="82"/>
      <c r="E6" s="82"/>
      <c r="F6" s="82"/>
      <c r="G6" s="82"/>
      <c r="H6" s="82"/>
      <c r="I6" s="82"/>
      <c r="J6" s="82"/>
      <c r="K6" s="82"/>
      <c r="L6" s="82"/>
      <c r="M6" s="82"/>
      <c r="N6" s="82"/>
      <c r="O6" s="82"/>
      <c r="P6" s="82"/>
      <c r="Q6" s="82"/>
      <c r="R6" s="82"/>
      <c r="S6" s="82"/>
      <c r="T6" s="83"/>
      <c r="U6" s="74" t="s">
        <v>305</v>
      </c>
    </row>
    <row r="7" spans="1:21" ht="18" customHeight="1" x14ac:dyDescent="0.35">
      <c r="B7" s="59"/>
      <c r="C7" s="60"/>
    </row>
    <row r="8" spans="1:21" ht="18" customHeight="1" x14ac:dyDescent="0.35">
      <c r="B8" s="59"/>
      <c r="C8" s="60"/>
      <c r="E8" s="62" t="s">
        <v>261</v>
      </c>
      <c r="F8" s="62" t="s">
        <v>262</v>
      </c>
      <c r="G8" s="62" t="s">
        <v>263</v>
      </c>
      <c r="H8" s="62" t="s">
        <v>51</v>
      </c>
      <c r="I8" s="62" t="s">
        <v>264</v>
      </c>
      <c r="J8" s="62" t="s">
        <v>265</v>
      </c>
      <c r="K8" s="62" t="s">
        <v>266</v>
      </c>
      <c r="L8" s="62" t="s">
        <v>267</v>
      </c>
      <c r="M8" s="62" t="s">
        <v>268</v>
      </c>
      <c r="N8" s="62" t="s">
        <v>269</v>
      </c>
      <c r="O8" s="62" t="s">
        <v>270</v>
      </c>
      <c r="P8" s="62" t="s">
        <v>271</v>
      </c>
      <c r="Q8" s="62" t="s">
        <v>272</v>
      </c>
      <c r="R8" s="62" t="s">
        <v>98</v>
      </c>
    </row>
    <row r="9" spans="1:21" x14ac:dyDescent="0.35">
      <c r="B9" s="59"/>
      <c r="C9" s="61" t="s">
        <v>99</v>
      </c>
      <c r="D9" s="85" t="s">
        <v>223</v>
      </c>
      <c r="E9" s="62" t="s">
        <v>248</v>
      </c>
      <c r="F9" s="62" t="s">
        <v>249</v>
      </c>
      <c r="G9" s="62" t="s">
        <v>250</v>
      </c>
      <c r="H9" s="62" t="s">
        <v>251</v>
      </c>
      <c r="I9" s="62" t="s">
        <v>252</v>
      </c>
      <c r="J9" s="62" t="s">
        <v>253</v>
      </c>
      <c r="K9" s="62" t="s">
        <v>254</v>
      </c>
      <c r="L9" s="62" t="s">
        <v>255</v>
      </c>
      <c r="M9" s="62" t="s">
        <v>256</v>
      </c>
      <c r="N9" s="62" t="s">
        <v>257</v>
      </c>
      <c r="O9" s="62" t="s">
        <v>258</v>
      </c>
      <c r="P9" s="62" t="s">
        <v>259</v>
      </c>
      <c r="Q9" s="62" t="s">
        <v>260</v>
      </c>
      <c r="R9" s="62" t="s">
        <v>82</v>
      </c>
      <c r="S9" s="85" t="s">
        <v>222</v>
      </c>
      <c r="T9" s="109" t="s">
        <v>100</v>
      </c>
    </row>
    <row r="10" spans="1:21" x14ac:dyDescent="0.35">
      <c r="B10" s="233">
        <v>2021</v>
      </c>
      <c r="C10" s="250" t="s">
        <v>70</v>
      </c>
      <c r="D10" s="88" t="s">
        <v>313</v>
      </c>
      <c r="E10" s="89">
        <v>58295</v>
      </c>
      <c r="F10" s="89">
        <v>324087</v>
      </c>
      <c r="G10" s="89">
        <v>374874</v>
      </c>
      <c r="H10" s="89">
        <v>922493</v>
      </c>
      <c r="I10" s="89">
        <v>177308</v>
      </c>
      <c r="J10" s="89">
        <v>413688</v>
      </c>
      <c r="K10" s="89">
        <v>74102</v>
      </c>
      <c r="L10" s="89">
        <v>443723</v>
      </c>
      <c r="M10" s="89">
        <v>1652849</v>
      </c>
      <c r="N10" s="89">
        <v>74951</v>
      </c>
      <c r="O10" s="89">
        <v>76032</v>
      </c>
      <c r="P10" s="89">
        <v>1120515</v>
      </c>
      <c r="Q10" s="89">
        <v>206791</v>
      </c>
      <c r="R10" s="89">
        <v>5919708</v>
      </c>
      <c r="S10" s="88" t="s">
        <v>312</v>
      </c>
      <c r="T10" s="287" t="s">
        <v>86</v>
      </c>
      <c r="U10" s="262">
        <v>2021</v>
      </c>
    </row>
    <row r="11" spans="1:21" x14ac:dyDescent="0.35">
      <c r="B11" s="234"/>
      <c r="C11" s="251"/>
      <c r="D11" s="90" t="s">
        <v>345</v>
      </c>
      <c r="E11" s="91">
        <v>75157578.989999995</v>
      </c>
      <c r="F11" s="91">
        <v>329434917.29000002</v>
      </c>
      <c r="G11" s="91">
        <v>489801723.98000002</v>
      </c>
      <c r="H11" s="91">
        <v>1454036673.1500001</v>
      </c>
      <c r="I11" s="91">
        <v>236169291.74000001</v>
      </c>
      <c r="J11" s="91">
        <v>434031103.88999999</v>
      </c>
      <c r="K11" s="91">
        <v>136472639.62</v>
      </c>
      <c r="L11" s="91">
        <v>542021351.53999996</v>
      </c>
      <c r="M11" s="91">
        <v>2538304764.0700002</v>
      </c>
      <c r="N11" s="91">
        <v>165835677.28999999</v>
      </c>
      <c r="O11" s="91">
        <v>149356943.97999999</v>
      </c>
      <c r="P11" s="91">
        <v>2054162704.9300001</v>
      </c>
      <c r="Q11" s="91">
        <v>342426713.19</v>
      </c>
      <c r="R11" s="91">
        <v>8947212083.6599998</v>
      </c>
      <c r="S11" s="90" t="s">
        <v>344</v>
      </c>
      <c r="T11" s="288"/>
      <c r="U11" s="263"/>
    </row>
    <row r="12" spans="1:21" x14ac:dyDescent="0.35">
      <c r="B12" s="234"/>
      <c r="C12" s="250" t="s">
        <v>71</v>
      </c>
      <c r="D12" s="88" t="s">
        <v>313</v>
      </c>
      <c r="E12" s="89">
        <v>34469</v>
      </c>
      <c r="F12" s="89">
        <v>262738</v>
      </c>
      <c r="G12" s="89">
        <v>301767</v>
      </c>
      <c r="H12" s="89">
        <v>745978</v>
      </c>
      <c r="I12" s="89">
        <v>116427</v>
      </c>
      <c r="J12" s="89">
        <v>289421</v>
      </c>
      <c r="K12" s="89">
        <v>61338</v>
      </c>
      <c r="L12" s="89">
        <v>276068</v>
      </c>
      <c r="M12" s="89">
        <v>1233271</v>
      </c>
      <c r="N12" s="89">
        <v>64037</v>
      </c>
      <c r="O12" s="89">
        <v>62842</v>
      </c>
      <c r="P12" s="89">
        <v>760632</v>
      </c>
      <c r="Q12" s="89">
        <v>166926</v>
      </c>
      <c r="R12" s="89">
        <v>4375914</v>
      </c>
      <c r="S12" s="88" t="s">
        <v>312</v>
      </c>
      <c r="T12" s="287" t="s">
        <v>87</v>
      </c>
      <c r="U12" s="263"/>
    </row>
    <row r="13" spans="1:21" x14ac:dyDescent="0.35">
      <c r="B13" s="234"/>
      <c r="C13" s="251"/>
      <c r="D13" s="90" t="s">
        <v>345</v>
      </c>
      <c r="E13" s="91">
        <v>40889284.549999997</v>
      </c>
      <c r="F13" s="91">
        <v>249390131.78999999</v>
      </c>
      <c r="G13" s="91">
        <v>364487895.56999999</v>
      </c>
      <c r="H13" s="91">
        <v>1240385349.8900001</v>
      </c>
      <c r="I13" s="91">
        <v>167936594.72999999</v>
      </c>
      <c r="J13" s="91">
        <v>281484957.04000002</v>
      </c>
      <c r="K13" s="91">
        <v>107897398.13</v>
      </c>
      <c r="L13" s="91">
        <v>342078235.70999998</v>
      </c>
      <c r="M13" s="91">
        <v>1933280183.8699999</v>
      </c>
      <c r="N13" s="91">
        <v>143865584.74000001</v>
      </c>
      <c r="O13" s="91">
        <v>108072664.06</v>
      </c>
      <c r="P13" s="91">
        <v>1373554544.51</v>
      </c>
      <c r="Q13" s="91">
        <v>328139941.00999999</v>
      </c>
      <c r="R13" s="91">
        <v>6681462765.6000004</v>
      </c>
      <c r="S13" s="90" t="s">
        <v>344</v>
      </c>
      <c r="T13" s="288"/>
      <c r="U13" s="263"/>
    </row>
    <row r="14" spans="1:21" x14ac:dyDescent="0.35">
      <c r="B14" s="234"/>
      <c r="C14" s="250" t="s">
        <v>72</v>
      </c>
      <c r="D14" s="88" t="s">
        <v>313</v>
      </c>
      <c r="E14" s="89">
        <v>64736</v>
      </c>
      <c r="F14" s="89">
        <v>266316</v>
      </c>
      <c r="G14" s="89">
        <v>280185</v>
      </c>
      <c r="H14" s="89">
        <v>780669</v>
      </c>
      <c r="I14" s="89">
        <v>119169</v>
      </c>
      <c r="J14" s="89">
        <v>207443</v>
      </c>
      <c r="K14" s="89">
        <v>54716</v>
      </c>
      <c r="L14" s="89">
        <v>293061</v>
      </c>
      <c r="M14" s="89">
        <v>1198175</v>
      </c>
      <c r="N14" s="89">
        <v>55717</v>
      </c>
      <c r="O14" s="89">
        <v>59066</v>
      </c>
      <c r="P14" s="89">
        <v>863652</v>
      </c>
      <c r="Q14" s="89">
        <v>165132</v>
      </c>
      <c r="R14" s="89">
        <v>4408037</v>
      </c>
      <c r="S14" s="88" t="s">
        <v>312</v>
      </c>
      <c r="T14" s="287" t="s">
        <v>88</v>
      </c>
      <c r="U14" s="263"/>
    </row>
    <row r="15" spans="1:21" x14ac:dyDescent="0.35">
      <c r="B15" s="234"/>
      <c r="C15" s="251"/>
      <c r="D15" s="90" t="s">
        <v>345</v>
      </c>
      <c r="E15" s="91">
        <v>89759209.560000002</v>
      </c>
      <c r="F15" s="91">
        <v>235674680.71000001</v>
      </c>
      <c r="G15" s="91">
        <v>394035705.19999999</v>
      </c>
      <c r="H15" s="91">
        <v>1300083605.8699999</v>
      </c>
      <c r="I15" s="91">
        <v>151748474.00999999</v>
      </c>
      <c r="J15" s="91">
        <v>278970473.41000003</v>
      </c>
      <c r="K15" s="91">
        <v>100469590.26000001</v>
      </c>
      <c r="L15" s="91">
        <v>393198170.75</v>
      </c>
      <c r="M15" s="91">
        <v>1769758288.9000001</v>
      </c>
      <c r="N15" s="91">
        <v>77272333.319999993</v>
      </c>
      <c r="O15" s="91">
        <v>96313085.340000004</v>
      </c>
      <c r="P15" s="91">
        <v>1505860475.53</v>
      </c>
      <c r="Q15" s="91">
        <v>289108104.10000002</v>
      </c>
      <c r="R15" s="91">
        <v>6682252196.96</v>
      </c>
      <c r="S15" s="90" t="s">
        <v>344</v>
      </c>
      <c r="T15" s="288"/>
      <c r="U15" s="263"/>
    </row>
    <row r="16" spans="1:21" x14ac:dyDescent="0.35">
      <c r="B16" s="234"/>
      <c r="C16" s="250" t="s">
        <v>73</v>
      </c>
      <c r="D16" s="88" t="s">
        <v>313</v>
      </c>
      <c r="E16" s="89">
        <v>55486</v>
      </c>
      <c r="F16" s="89">
        <v>276424</v>
      </c>
      <c r="G16" s="89">
        <v>373895</v>
      </c>
      <c r="H16" s="89">
        <v>714622</v>
      </c>
      <c r="I16" s="89">
        <v>103228</v>
      </c>
      <c r="J16" s="89">
        <v>145150</v>
      </c>
      <c r="K16" s="89">
        <v>62742</v>
      </c>
      <c r="L16" s="89">
        <v>287437</v>
      </c>
      <c r="M16" s="89">
        <v>1361018</v>
      </c>
      <c r="N16" s="89">
        <v>76416</v>
      </c>
      <c r="O16" s="89">
        <v>65435</v>
      </c>
      <c r="P16" s="89">
        <v>745191</v>
      </c>
      <c r="Q16" s="89">
        <v>163959</v>
      </c>
      <c r="R16" s="89">
        <v>4431003</v>
      </c>
      <c r="S16" s="88" t="s">
        <v>312</v>
      </c>
      <c r="T16" s="287" t="s">
        <v>89</v>
      </c>
      <c r="U16" s="263"/>
    </row>
    <row r="17" spans="2:21" x14ac:dyDescent="0.35">
      <c r="B17" s="234"/>
      <c r="C17" s="251"/>
      <c r="D17" s="90" t="s">
        <v>345</v>
      </c>
      <c r="E17" s="91">
        <v>58453265</v>
      </c>
      <c r="F17" s="91">
        <v>278059083.89999998</v>
      </c>
      <c r="G17" s="91">
        <v>482507401.14999998</v>
      </c>
      <c r="H17" s="91">
        <v>1150978575.99</v>
      </c>
      <c r="I17" s="91">
        <v>150694084.81999999</v>
      </c>
      <c r="J17" s="91">
        <v>131110573.7</v>
      </c>
      <c r="K17" s="91">
        <v>116544028.44</v>
      </c>
      <c r="L17" s="91">
        <v>313648817.82999998</v>
      </c>
      <c r="M17" s="91">
        <v>2277884017.71</v>
      </c>
      <c r="N17" s="91">
        <v>118714238.95999999</v>
      </c>
      <c r="O17" s="91">
        <v>132747767.63</v>
      </c>
      <c r="P17" s="91">
        <v>1370155563.51</v>
      </c>
      <c r="Q17" s="91">
        <v>368928354.16000003</v>
      </c>
      <c r="R17" s="91">
        <v>6950425772.8000002</v>
      </c>
      <c r="S17" s="90" t="s">
        <v>344</v>
      </c>
      <c r="T17" s="288"/>
      <c r="U17" s="263"/>
    </row>
    <row r="18" spans="2:21" x14ac:dyDescent="0.35">
      <c r="B18" s="234"/>
      <c r="C18" s="250" t="s">
        <v>74</v>
      </c>
      <c r="D18" s="88" t="s">
        <v>313</v>
      </c>
      <c r="E18" s="89">
        <v>158744</v>
      </c>
      <c r="F18" s="89">
        <v>433533</v>
      </c>
      <c r="G18" s="89">
        <v>574444</v>
      </c>
      <c r="H18" s="89">
        <v>904806</v>
      </c>
      <c r="I18" s="89">
        <v>200512</v>
      </c>
      <c r="J18" s="89">
        <v>329335</v>
      </c>
      <c r="K18" s="89">
        <v>89546</v>
      </c>
      <c r="L18" s="89">
        <v>447597</v>
      </c>
      <c r="M18" s="89">
        <v>2125268</v>
      </c>
      <c r="N18" s="89">
        <v>81276</v>
      </c>
      <c r="O18" s="89">
        <v>92875</v>
      </c>
      <c r="P18" s="89">
        <v>1072745</v>
      </c>
      <c r="Q18" s="89">
        <v>217231</v>
      </c>
      <c r="R18" s="89">
        <v>6727912</v>
      </c>
      <c r="S18" s="88" t="s">
        <v>312</v>
      </c>
      <c r="T18" s="287" t="s">
        <v>90</v>
      </c>
      <c r="U18" s="263"/>
    </row>
    <row r="19" spans="2:21" x14ac:dyDescent="0.35">
      <c r="B19" s="234"/>
      <c r="C19" s="251"/>
      <c r="D19" s="90" t="s">
        <v>345</v>
      </c>
      <c r="E19" s="91">
        <v>208515699.41999999</v>
      </c>
      <c r="F19" s="91">
        <v>509212357.00999999</v>
      </c>
      <c r="G19" s="91">
        <v>1033018450.6799999</v>
      </c>
      <c r="H19" s="91">
        <v>1634264237.54</v>
      </c>
      <c r="I19" s="91">
        <v>285531337.33999997</v>
      </c>
      <c r="J19" s="91">
        <v>468348263.61000001</v>
      </c>
      <c r="K19" s="91">
        <v>169317500.31</v>
      </c>
      <c r="L19" s="91">
        <v>675157503.87</v>
      </c>
      <c r="M19" s="91">
        <v>3884238336.5300002</v>
      </c>
      <c r="N19" s="91">
        <v>154629807.99000001</v>
      </c>
      <c r="O19" s="91">
        <v>216485217.19999999</v>
      </c>
      <c r="P19" s="91">
        <v>1787131231.0799999</v>
      </c>
      <c r="Q19" s="91">
        <v>421957684.67000002</v>
      </c>
      <c r="R19" s="91">
        <v>11447807627.25</v>
      </c>
      <c r="S19" s="90" t="s">
        <v>344</v>
      </c>
      <c r="T19" s="288"/>
      <c r="U19" s="263"/>
    </row>
    <row r="20" spans="2:21" x14ac:dyDescent="0.35">
      <c r="B20" s="234"/>
      <c r="C20" s="250" t="s">
        <v>75</v>
      </c>
      <c r="D20" s="88" t="s">
        <v>313</v>
      </c>
      <c r="E20" s="89">
        <v>95902</v>
      </c>
      <c r="F20" s="89">
        <v>241182</v>
      </c>
      <c r="G20" s="89">
        <v>462015</v>
      </c>
      <c r="H20" s="89">
        <v>598067</v>
      </c>
      <c r="I20" s="89">
        <v>112058</v>
      </c>
      <c r="J20" s="89">
        <v>179161</v>
      </c>
      <c r="K20" s="89">
        <v>47694</v>
      </c>
      <c r="L20" s="89">
        <v>250211</v>
      </c>
      <c r="M20" s="89">
        <v>1195801</v>
      </c>
      <c r="N20" s="89">
        <v>43828</v>
      </c>
      <c r="O20" s="89">
        <v>48676</v>
      </c>
      <c r="P20" s="89">
        <v>719255</v>
      </c>
      <c r="Q20" s="89">
        <v>171719</v>
      </c>
      <c r="R20" s="89">
        <v>4165569</v>
      </c>
      <c r="S20" s="88" t="s">
        <v>312</v>
      </c>
      <c r="T20" s="287" t="s">
        <v>91</v>
      </c>
      <c r="U20" s="263"/>
    </row>
    <row r="21" spans="2:21" x14ac:dyDescent="0.35">
      <c r="B21" s="234"/>
      <c r="C21" s="251"/>
      <c r="D21" s="90" t="s">
        <v>345</v>
      </c>
      <c r="E21" s="91">
        <v>128893854.81999999</v>
      </c>
      <c r="F21" s="91">
        <v>254932378.37</v>
      </c>
      <c r="G21" s="91">
        <v>877601596.99000001</v>
      </c>
      <c r="H21" s="91">
        <v>1131424123.9100001</v>
      </c>
      <c r="I21" s="91">
        <v>164885268.22999999</v>
      </c>
      <c r="J21" s="91">
        <v>259996743.78999999</v>
      </c>
      <c r="K21" s="91">
        <v>78641681.159999996</v>
      </c>
      <c r="L21" s="91">
        <v>299544240.07999998</v>
      </c>
      <c r="M21" s="91">
        <v>1902252903.6500001</v>
      </c>
      <c r="N21" s="91">
        <v>90375785.75</v>
      </c>
      <c r="O21" s="91">
        <v>101826377.40000001</v>
      </c>
      <c r="P21" s="91">
        <v>1356695389.9400001</v>
      </c>
      <c r="Q21" s="91">
        <v>384036822.82999998</v>
      </c>
      <c r="R21" s="91">
        <v>7031107166.9200001</v>
      </c>
      <c r="S21" s="90" t="s">
        <v>344</v>
      </c>
      <c r="T21" s="288"/>
      <c r="U21" s="263"/>
    </row>
    <row r="22" spans="2:21" x14ac:dyDescent="0.35">
      <c r="B22" s="234"/>
      <c r="C22" s="250" t="s">
        <v>76</v>
      </c>
      <c r="D22" s="88" t="s">
        <v>313</v>
      </c>
      <c r="E22" s="89">
        <v>261898</v>
      </c>
      <c r="F22" s="89">
        <v>448717</v>
      </c>
      <c r="G22" s="89">
        <v>1002246</v>
      </c>
      <c r="H22" s="89">
        <v>871073</v>
      </c>
      <c r="I22" s="89">
        <v>246875</v>
      </c>
      <c r="J22" s="89">
        <v>289441</v>
      </c>
      <c r="K22" s="89">
        <v>99842</v>
      </c>
      <c r="L22" s="89">
        <v>503309</v>
      </c>
      <c r="M22" s="89">
        <v>1969917</v>
      </c>
      <c r="N22" s="89">
        <v>104803</v>
      </c>
      <c r="O22" s="89">
        <v>102968</v>
      </c>
      <c r="P22" s="89">
        <v>1388876</v>
      </c>
      <c r="Q22" s="89">
        <v>243386</v>
      </c>
      <c r="R22" s="89">
        <v>7533351</v>
      </c>
      <c r="S22" s="88" t="s">
        <v>312</v>
      </c>
      <c r="T22" s="287" t="s">
        <v>92</v>
      </c>
      <c r="U22" s="263"/>
    </row>
    <row r="23" spans="2:21" x14ac:dyDescent="0.35">
      <c r="B23" s="234"/>
      <c r="C23" s="251"/>
      <c r="D23" s="90" t="s">
        <v>345</v>
      </c>
      <c r="E23" s="91">
        <v>387767473.19999999</v>
      </c>
      <c r="F23" s="91">
        <v>533813219.12</v>
      </c>
      <c r="G23" s="91">
        <v>2082925223.51</v>
      </c>
      <c r="H23" s="91">
        <v>1703996507.8299999</v>
      </c>
      <c r="I23" s="91">
        <v>441529209.64999998</v>
      </c>
      <c r="J23" s="91">
        <v>449864156.76999998</v>
      </c>
      <c r="K23" s="91">
        <v>266797157.06999999</v>
      </c>
      <c r="L23" s="91">
        <v>653182131.32000005</v>
      </c>
      <c r="M23" s="91">
        <v>3867833918.1900001</v>
      </c>
      <c r="N23" s="91">
        <v>182166859.90000001</v>
      </c>
      <c r="O23" s="91">
        <v>294895449.36000001</v>
      </c>
      <c r="P23" s="91">
        <v>2557423836.3699999</v>
      </c>
      <c r="Q23" s="91">
        <v>494921390.24000001</v>
      </c>
      <c r="R23" s="91">
        <v>13917116532.530001</v>
      </c>
      <c r="S23" s="90" t="s">
        <v>344</v>
      </c>
      <c r="T23" s="288"/>
      <c r="U23" s="263"/>
    </row>
    <row r="24" spans="2:21" x14ac:dyDescent="0.35">
      <c r="B24" s="234"/>
      <c r="C24" s="250" t="s">
        <v>77</v>
      </c>
      <c r="D24" s="88" t="s">
        <v>313</v>
      </c>
      <c r="E24" s="89">
        <v>139665</v>
      </c>
      <c r="F24" s="89">
        <v>287146</v>
      </c>
      <c r="G24" s="89">
        <v>592762</v>
      </c>
      <c r="H24" s="89">
        <v>710812</v>
      </c>
      <c r="I24" s="89">
        <v>124346</v>
      </c>
      <c r="J24" s="89">
        <v>222749</v>
      </c>
      <c r="K24" s="89">
        <v>65821</v>
      </c>
      <c r="L24" s="89">
        <v>325546</v>
      </c>
      <c r="M24" s="89">
        <v>1787497</v>
      </c>
      <c r="N24" s="89">
        <v>89533</v>
      </c>
      <c r="O24" s="89">
        <v>70458</v>
      </c>
      <c r="P24" s="89">
        <v>874637</v>
      </c>
      <c r="Q24" s="89">
        <v>191278</v>
      </c>
      <c r="R24" s="89">
        <v>5482250</v>
      </c>
      <c r="S24" s="88" t="s">
        <v>312</v>
      </c>
      <c r="T24" s="287" t="s">
        <v>93</v>
      </c>
      <c r="U24" s="263"/>
    </row>
    <row r="25" spans="2:21" x14ac:dyDescent="0.35">
      <c r="B25" s="234"/>
      <c r="C25" s="251"/>
      <c r="D25" s="90" t="s">
        <v>345</v>
      </c>
      <c r="E25" s="91">
        <v>187698315.62</v>
      </c>
      <c r="F25" s="91">
        <v>340903072.13999999</v>
      </c>
      <c r="G25" s="91">
        <v>1064491471.59</v>
      </c>
      <c r="H25" s="91">
        <v>1177513215.46</v>
      </c>
      <c r="I25" s="91">
        <v>205514019.03</v>
      </c>
      <c r="J25" s="91">
        <v>284928655.27999997</v>
      </c>
      <c r="K25" s="91">
        <v>105104416.02</v>
      </c>
      <c r="L25" s="91">
        <v>425952360.29000002</v>
      </c>
      <c r="M25" s="91">
        <v>2714842737.5599999</v>
      </c>
      <c r="N25" s="91">
        <v>165986105.90000001</v>
      </c>
      <c r="O25" s="91">
        <v>144396378.22999999</v>
      </c>
      <c r="P25" s="91">
        <v>1698160251.4400001</v>
      </c>
      <c r="Q25" s="91">
        <v>362310359.83999997</v>
      </c>
      <c r="R25" s="91">
        <v>8877801358.3999996</v>
      </c>
      <c r="S25" s="90" t="s">
        <v>344</v>
      </c>
      <c r="T25" s="288"/>
      <c r="U25" s="263"/>
    </row>
    <row r="26" spans="2:21" x14ac:dyDescent="0.35">
      <c r="B26" s="234"/>
      <c r="C26" s="250" t="s">
        <v>78</v>
      </c>
      <c r="D26" s="88" t="s">
        <v>313</v>
      </c>
      <c r="E26" s="89">
        <v>56620</v>
      </c>
      <c r="F26" s="89">
        <v>286350</v>
      </c>
      <c r="G26" s="89">
        <v>288256</v>
      </c>
      <c r="H26" s="89">
        <v>606267</v>
      </c>
      <c r="I26" s="89">
        <v>128020</v>
      </c>
      <c r="J26" s="89">
        <v>206552</v>
      </c>
      <c r="K26" s="89">
        <v>54556</v>
      </c>
      <c r="L26" s="89">
        <v>285685</v>
      </c>
      <c r="M26" s="89">
        <v>1268430</v>
      </c>
      <c r="N26" s="89">
        <v>53217</v>
      </c>
      <c r="O26" s="89">
        <v>48176</v>
      </c>
      <c r="P26" s="89">
        <v>763818</v>
      </c>
      <c r="Q26" s="89">
        <v>139350</v>
      </c>
      <c r="R26" s="89">
        <v>4185297</v>
      </c>
      <c r="S26" s="88" t="s">
        <v>312</v>
      </c>
      <c r="T26" s="287" t="s">
        <v>94</v>
      </c>
      <c r="U26" s="263"/>
    </row>
    <row r="27" spans="2:21" x14ac:dyDescent="0.35">
      <c r="B27" s="234"/>
      <c r="C27" s="251"/>
      <c r="D27" s="90" t="s">
        <v>345</v>
      </c>
      <c r="E27" s="91">
        <v>54266418</v>
      </c>
      <c r="F27" s="91">
        <v>283666243.79000002</v>
      </c>
      <c r="G27" s="91">
        <v>360687699.72000003</v>
      </c>
      <c r="H27" s="91">
        <v>747608920.01999998</v>
      </c>
      <c r="I27" s="91">
        <v>155808748.31999999</v>
      </c>
      <c r="J27" s="91">
        <v>269281085.14999998</v>
      </c>
      <c r="K27" s="91">
        <v>95862197.150000006</v>
      </c>
      <c r="L27" s="91">
        <v>396288131.73000002</v>
      </c>
      <c r="M27" s="91">
        <v>1968990309.1700001</v>
      </c>
      <c r="N27" s="91">
        <v>94133483.239999995</v>
      </c>
      <c r="O27" s="91">
        <v>124758604.48</v>
      </c>
      <c r="P27" s="91">
        <v>1340761589.01</v>
      </c>
      <c r="Q27" s="91">
        <v>253176374.49000001</v>
      </c>
      <c r="R27" s="91">
        <v>6145289804.2700005</v>
      </c>
      <c r="S27" s="90" t="s">
        <v>344</v>
      </c>
      <c r="T27" s="288"/>
      <c r="U27" s="263"/>
    </row>
    <row r="28" spans="2:21" x14ac:dyDescent="0.35">
      <c r="B28" s="234"/>
      <c r="C28" s="250" t="s">
        <v>79</v>
      </c>
      <c r="D28" s="88" t="s">
        <v>313</v>
      </c>
      <c r="E28" s="89">
        <v>68976</v>
      </c>
      <c r="F28" s="89">
        <v>280028</v>
      </c>
      <c r="G28" s="89">
        <v>320896</v>
      </c>
      <c r="H28" s="89">
        <v>796055</v>
      </c>
      <c r="I28" s="89">
        <v>159911</v>
      </c>
      <c r="J28" s="89">
        <v>262458</v>
      </c>
      <c r="K28" s="89">
        <v>80191</v>
      </c>
      <c r="L28" s="89">
        <v>381905</v>
      </c>
      <c r="M28" s="89">
        <v>1683137</v>
      </c>
      <c r="N28" s="89">
        <v>82504</v>
      </c>
      <c r="O28" s="89">
        <v>84874</v>
      </c>
      <c r="P28" s="89">
        <v>979718</v>
      </c>
      <c r="Q28" s="89">
        <v>217907</v>
      </c>
      <c r="R28" s="89">
        <v>5398560</v>
      </c>
      <c r="S28" s="88" t="s">
        <v>312</v>
      </c>
      <c r="T28" s="287" t="s">
        <v>95</v>
      </c>
      <c r="U28" s="263"/>
    </row>
    <row r="29" spans="2:21" x14ac:dyDescent="0.35">
      <c r="B29" s="234"/>
      <c r="C29" s="251"/>
      <c r="D29" s="90" t="s">
        <v>345</v>
      </c>
      <c r="E29" s="91">
        <v>72448934.079999998</v>
      </c>
      <c r="F29" s="91">
        <v>219156493.55000001</v>
      </c>
      <c r="G29" s="91">
        <v>331786630.48000002</v>
      </c>
      <c r="H29" s="91">
        <v>948468625.12</v>
      </c>
      <c r="I29" s="91">
        <v>236874868.88</v>
      </c>
      <c r="J29" s="91">
        <v>241718683.05000001</v>
      </c>
      <c r="K29" s="91">
        <v>161352003.56999999</v>
      </c>
      <c r="L29" s="91">
        <v>443142507.56999999</v>
      </c>
      <c r="M29" s="91">
        <v>2175981158.96</v>
      </c>
      <c r="N29" s="91">
        <v>609018677.08000004</v>
      </c>
      <c r="O29" s="91">
        <v>173448007.34</v>
      </c>
      <c r="P29" s="91">
        <v>1557202588.4400001</v>
      </c>
      <c r="Q29" s="91">
        <v>375830818.75</v>
      </c>
      <c r="R29" s="91">
        <v>7546429996.8699999</v>
      </c>
      <c r="S29" s="90" t="s">
        <v>344</v>
      </c>
      <c r="T29" s="288"/>
      <c r="U29" s="263"/>
    </row>
    <row r="30" spans="2:21" x14ac:dyDescent="0.35">
      <c r="B30" s="234"/>
      <c r="C30" s="250" t="s">
        <v>80</v>
      </c>
      <c r="D30" s="88" t="s">
        <v>313</v>
      </c>
      <c r="E30" s="89">
        <v>72000</v>
      </c>
      <c r="F30" s="89">
        <v>428167</v>
      </c>
      <c r="G30" s="89">
        <v>422203</v>
      </c>
      <c r="H30" s="89">
        <v>913056</v>
      </c>
      <c r="I30" s="89">
        <v>232422</v>
      </c>
      <c r="J30" s="89">
        <v>397306</v>
      </c>
      <c r="K30" s="89">
        <v>102492</v>
      </c>
      <c r="L30" s="89">
        <v>520917</v>
      </c>
      <c r="M30" s="89">
        <v>1852298</v>
      </c>
      <c r="N30" s="89">
        <v>80222</v>
      </c>
      <c r="O30" s="89">
        <v>84148</v>
      </c>
      <c r="P30" s="89">
        <v>1355376</v>
      </c>
      <c r="Q30" s="89">
        <v>252144</v>
      </c>
      <c r="R30" s="89">
        <v>6712751</v>
      </c>
      <c r="S30" s="88" t="s">
        <v>312</v>
      </c>
      <c r="T30" s="287" t="s">
        <v>96</v>
      </c>
      <c r="U30" s="263"/>
    </row>
    <row r="31" spans="2:21" x14ac:dyDescent="0.35">
      <c r="B31" s="234"/>
      <c r="C31" s="251"/>
      <c r="D31" s="90" t="s">
        <v>345</v>
      </c>
      <c r="E31" s="91">
        <v>72044390.180000007</v>
      </c>
      <c r="F31" s="91">
        <v>427642996.12</v>
      </c>
      <c r="G31" s="91">
        <v>440993260.80000001</v>
      </c>
      <c r="H31" s="91">
        <v>1138144705.1400001</v>
      </c>
      <c r="I31" s="91">
        <v>314176520.42000002</v>
      </c>
      <c r="J31" s="91">
        <v>389513440.07999998</v>
      </c>
      <c r="K31" s="91">
        <v>187208521.28999999</v>
      </c>
      <c r="L31" s="91">
        <v>835170603.90999997</v>
      </c>
      <c r="M31" s="91">
        <v>3982305995.1999998</v>
      </c>
      <c r="N31" s="91">
        <v>119751750.73</v>
      </c>
      <c r="O31" s="91">
        <v>168222073.15000001</v>
      </c>
      <c r="P31" s="91">
        <v>2495892559.8800001</v>
      </c>
      <c r="Q31" s="91">
        <v>447287118.76999998</v>
      </c>
      <c r="R31" s="91">
        <v>11018353935.67</v>
      </c>
      <c r="S31" s="90" t="s">
        <v>344</v>
      </c>
      <c r="T31" s="288"/>
      <c r="U31" s="263"/>
    </row>
    <row r="32" spans="2:21" x14ac:dyDescent="0.35">
      <c r="B32" s="234"/>
      <c r="C32" s="250" t="s">
        <v>81</v>
      </c>
      <c r="D32" s="88" t="s">
        <v>313</v>
      </c>
      <c r="E32" s="89">
        <v>33474</v>
      </c>
      <c r="F32" s="89">
        <v>233187</v>
      </c>
      <c r="G32" s="89">
        <v>275149</v>
      </c>
      <c r="H32" s="89">
        <v>709001</v>
      </c>
      <c r="I32" s="89">
        <v>129366</v>
      </c>
      <c r="J32" s="89">
        <v>335465</v>
      </c>
      <c r="K32" s="89">
        <v>55171</v>
      </c>
      <c r="L32" s="89">
        <v>349375</v>
      </c>
      <c r="M32" s="89">
        <v>1147845</v>
      </c>
      <c r="N32" s="89">
        <v>57125</v>
      </c>
      <c r="O32" s="89">
        <v>54111</v>
      </c>
      <c r="P32" s="89">
        <v>961922</v>
      </c>
      <c r="Q32" s="89">
        <v>152355</v>
      </c>
      <c r="R32" s="89">
        <v>4493546</v>
      </c>
      <c r="S32" s="88" t="s">
        <v>312</v>
      </c>
      <c r="T32" s="287" t="s">
        <v>97</v>
      </c>
      <c r="U32" s="263"/>
    </row>
    <row r="33" spans="2:21" x14ac:dyDescent="0.35">
      <c r="B33" s="235"/>
      <c r="C33" s="251"/>
      <c r="D33" s="90" t="s">
        <v>345</v>
      </c>
      <c r="E33" s="91">
        <v>35285401.350000001</v>
      </c>
      <c r="F33" s="91">
        <v>215355649.84999999</v>
      </c>
      <c r="G33" s="91">
        <v>260654909.02000001</v>
      </c>
      <c r="H33" s="91">
        <v>1012174615.4299999</v>
      </c>
      <c r="I33" s="91">
        <v>156934242.77000001</v>
      </c>
      <c r="J33" s="91">
        <v>283643724.38</v>
      </c>
      <c r="K33" s="91">
        <v>92967204.170000002</v>
      </c>
      <c r="L33" s="91">
        <v>397554189.19</v>
      </c>
      <c r="M33" s="91">
        <v>1987365581.9100001</v>
      </c>
      <c r="N33" s="91">
        <v>176600505.38</v>
      </c>
      <c r="O33" s="91">
        <v>91230528.700000003</v>
      </c>
      <c r="P33" s="91">
        <v>2011119470.3699999</v>
      </c>
      <c r="Q33" s="91">
        <v>217967759.16</v>
      </c>
      <c r="R33" s="91">
        <v>6938853781.6800003</v>
      </c>
      <c r="S33" s="90" t="s">
        <v>344</v>
      </c>
      <c r="T33" s="288"/>
      <c r="U33" s="264"/>
    </row>
    <row r="34" spans="2:21" x14ac:dyDescent="0.35">
      <c r="B34" s="254" t="s">
        <v>82</v>
      </c>
      <c r="C34" s="255"/>
      <c r="D34" s="92" t="s">
        <v>313</v>
      </c>
      <c r="E34" s="93">
        <v>1100265</v>
      </c>
      <c r="F34" s="93">
        <v>3767875</v>
      </c>
      <c r="G34" s="93">
        <v>5268692</v>
      </c>
      <c r="H34" s="93">
        <v>9272899</v>
      </c>
      <c r="I34" s="93">
        <v>1849642</v>
      </c>
      <c r="J34" s="93">
        <v>3278169</v>
      </c>
      <c r="K34" s="93">
        <v>848211</v>
      </c>
      <c r="L34" s="93">
        <v>4364834</v>
      </c>
      <c r="M34" s="93">
        <v>18475506</v>
      </c>
      <c r="N34" s="93">
        <v>863629</v>
      </c>
      <c r="O34" s="93">
        <v>849661</v>
      </c>
      <c r="P34" s="93">
        <v>11606337</v>
      </c>
      <c r="Q34" s="93">
        <v>2288178</v>
      </c>
      <c r="R34" s="93">
        <v>63833898</v>
      </c>
      <c r="S34" s="92" t="s">
        <v>312</v>
      </c>
      <c r="T34" s="258" t="s">
        <v>98</v>
      </c>
      <c r="U34" s="259"/>
    </row>
    <row r="35" spans="2:21" x14ac:dyDescent="0.35">
      <c r="B35" s="256"/>
      <c r="C35" s="257"/>
      <c r="D35" s="94" t="s">
        <v>345</v>
      </c>
      <c r="E35" s="95">
        <v>1411179824.77</v>
      </c>
      <c r="F35" s="95">
        <v>3877241223.6399999</v>
      </c>
      <c r="G35" s="95">
        <v>8182991968.6899996</v>
      </c>
      <c r="H35" s="95">
        <v>14639079155.35</v>
      </c>
      <c r="I35" s="95">
        <v>2667802659.9400001</v>
      </c>
      <c r="J35" s="95">
        <v>3772891860.1500001</v>
      </c>
      <c r="K35" s="95">
        <v>1618634337.1900001</v>
      </c>
      <c r="L35" s="95">
        <v>5716938243.79</v>
      </c>
      <c r="M35" s="95">
        <v>31003038195.720001</v>
      </c>
      <c r="N35" s="95">
        <v>2098350810.28</v>
      </c>
      <c r="O35" s="95">
        <v>1801753096.8699999</v>
      </c>
      <c r="P35" s="95">
        <v>21108120205.009998</v>
      </c>
      <c r="Q35" s="95">
        <v>4286091441.21</v>
      </c>
      <c r="R35" s="95">
        <v>102184113022.61</v>
      </c>
      <c r="S35" s="94" t="s">
        <v>344</v>
      </c>
      <c r="T35" s="260"/>
      <c r="U35" s="261"/>
    </row>
    <row r="36" spans="2:21" x14ac:dyDescent="0.35">
      <c r="B36" s="233">
        <v>2022</v>
      </c>
      <c r="C36" s="250" t="s">
        <v>70</v>
      </c>
      <c r="D36" s="88" t="s">
        <v>313</v>
      </c>
      <c r="E36" s="89">
        <v>48472</v>
      </c>
      <c r="F36" s="89">
        <v>390502</v>
      </c>
      <c r="G36" s="89">
        <v>522889</v>
      </c>
      <c r="H36" s="89">
        <v>1201506</v>
      </c>
      <c r="I36" s="89">
        <v>222938</v>
      </c>
      <c r="J36" s="89">
        <v>310686</v>
      </c>
      <c r="K36" s="89">
        <v>128030</v>
      </c>
      <c r="L36" s="89">
        <v>580164</v>
      </c>
      <c r="M36" s="89">
        <v>2084903</v>
      </c>
      <c r="N36" s="89">
        <v>105576</v>
      </c>
      <c r="O36" s="89">
        <v>124274</v>
      </c>
      <c r="P36" s="89">
        <v>1653045</v>
      </c>
      <c r="Q36" s="89">
        <v>302175</v>
      </c>
      <c r="R36" s="89">
        <v>7675160</v>
      </c>
      <c r="S36" s="88" t="s">
        <v>312</v>
      </c>
      <c r="T36" s="287" t="s">
        <v>86</v>
      </c>
      <c r="U36" s="262">
        <v>2022</v>
      </c>
    </row>
    <row r="37" spans="2:21" x14ac:dyDescent="0.35">
      <c r="B37" s="234"/>
      <c r="C37" s="251"/>
      <c r="D37" s="90" t="s">
        <v>345</v>
      </c>
      <c r="E37" s="91">
        <v>59269366.140000001</v>
      </c>
      <c r="F37" s="91">
        <v>451744922.08999997</v>
      </c>
      <c r="G37" s="91">
        <v>567495028.22000003</v>
      </c>
      <c r="H37" s="91">
        <v>1736172978.98</v>
      </c>
      <c r="I37" s="91">
        <v>307576289.75999999</v>
      </c>
      <c r="J37" s="91">
        <v>340899535.89999998</v>
      </c>
      <c r="K37" s="91">
        <v>297061180.57999998</v>
      </c>
      <c r="L37" s="91">
        <v>816909769.90999997</v>
      </c>
      <c r="M37" s="91">
        <v>2889864033.4699998</v>
      </c>
      <c r="N37" s="91">
        <v>205173654.86000001</v>
      </c>
      <c r="O37" s="91">
        <v>299886586.69</v>
      </c>
      <c r="P37" s="91">
        <v>2626343102.9200001</v>
      </c>
      <c r="Q37" s="91">
        <v>756611903.49000001</v>
      </c>
      <c r="R37" s="91">
        <v>11355008353.01</v>
      </c>
      <c r="S37" s="90" t="s">
        <v>344</v>
      </c>
      <c r="T37" s="288"/>
      <c r="U37" s="263"/>
    </row>
    <row r="38" spans="2:21" x14ac:dyDescent="0.35">
      <c r="B38" s="234"/>
      <c r="C38" s="250" t="s">
        <v>71</v>
      </c>
      <c r="D38" s="88" t="s">
        <v>313</v>
      </c>
      <c r="E38" s="89">
        <v>37792</v>
      </c>
      <c r="F38" s="89">
        <v>349713</v>
      </c>
      <c r="G38" s="89">
        <v>389410</v>
      </c>
      <c r="H38" s="89">
        <v>1044118</v>
      </c>
      <c r="I38" s="89">
        <v>163346</v>
      </c>
      <c r="J38" s="89">
        <v>212840</v>
      </c>
      <c r="K38" s="89">
        <v>106086</v>
      </c>
      <c r="L38" s="89">
        <v>465742</v>
      </c>
      <c r="M38" s="89">
        <v>1790593</v>
      </c>
      <c r="N38" s="89">
        <v>94897</v>
      </c>
      <c r="O38" s="89">
        <v>110373</v>
      </c>
      <c r="P38" s="89">
        <v>1464860</v>
      </c>
      <c r="Q38" s="89">
        <v>220168</v>
      </c>
      <c r="R38" s="89">
        <v>6449938</v>
      </c>
      <c r="S38" s="88" t="s">
        <v>312</v>
      </c>
      <c r="T38" s="287" t="s">
        <v>87</v>
      </c>
      <c r="U38" s="263"/>
    </row>
    <row r="39" spans="2:21" x14ac:dyDescent="0.35">
      <c r="B39" s="234"/>
      <c r="C39" s="251"/>
      <c r="D39" s="90" t="s">
        <v>345</v>
      </c>
      <c r="E39" s="91">
        <v>41924749.670000002</v>
      </c>
      <c r="F39" s="91">
        <v>485981867.13</v>
      </c>
      <c r="G39" s="91">
        <v>410628912.99000001</v>
      </c>
      <c r="H39" s="91">
        <v>1062182056.2</v>
      </c>
      <c r="I39" s="91">
        <v>260029504.75999999</v>
      </c>
      <c r="J39" s="91">
        <v>227357899.08000001</v>
      </c>
      <c r="K39" s="91">
        <v>206030689.05000001</v>
      </c>
      <c r="L39" s="91">
        <v>625592259.08000004</v>
      </c>
      <c r="M39" s="91">
        <v>2405311237.5999999</v>
      </c>
      <c r="N39" s="91">
        <v>196576071.69999999</v>
      </c>
      <c r="O39" s="91">
        <v>340435269.13</v>
      </c>
      <c r="P39" s="91">
        <v>2368349938.8899999</v>
      </c>
      <c r="Q39" s="91">
        <v>503115818.57999998</v>
      </c>
      <c r="R39" s="91">
        <v>9133516273.8600006</v>
      </c>
      <c r="S39" s="90" t="s">
        <v>344</v>
      </c>
      <c r="T39" s="288"/>
      <c r="U39" s="263"/>
    </row>
    <row r="40" spans="2:21" x14ac:dyDescent="0.35">
      <c r="B40" s="234"/>
      <c r="C40" s="250" t="s">
        <v>72</v>
      </c>
      <c r="D40" s="88" t="s">
        <v>313</v>
      </c>
      <c r="E40" s="89">
        <v>43728</v>
      </c>
      <c r="F40" s="89">
        <v>351766</v>
      </c>
      <c r="G40" s="89">
        <v>361800</v>
      </c>
      <c r="H40" s="89">
        <v>958961</v>
      </c>
      <c r="I40" s="89">
        <v>167726</v>
      </c>
      <c r="J40" s="89">
        <v>158732</v>
      </c>
      <c r="K40" s="89">
        <v>89630</v>
      </c>
      <c r="L40" s="89">
        <v>488231</v>
      </c>
      <c r="M40" s="89">
        <v>1781854</v>
      </c>
      <c r="N40" s="89">
        <v>63068</v>
      </c>
      <c r="O40" s="89">
        <v>66321</v>
      </c>
      <c r="P40" s="89">
        <v>1478679</v>
      </c>
      <c r="Q40" s="89">
        <v>194259</v>
      </c>
      <c r="R40" s="89">
        <v>6204755</v>
      </c>
      <c r="S40" s="88" t="s">
        <v>312</v>
      </c>
      <c r="T40" s="287" t="s">
        <v>88</v>
      </c>
      <c r="U40" s="263"/>
    </row>
    <row r="41" spans="2:21" x14ac:dyDescent="0.35">
      <c r="B41" s="234"/>
      <c r="C41" s="251"/>
      <c r="D41" s="90" t="s">
        <v>345</v>
      </c>
      <c r="E41" s="91">
        <v>39359204.82</v>
      </c>
      <c r="F41" s="91">
        <v>314835635.77999997</v>
      </c>
      <c r="G41" s="91">
        <v>291392237.10000002</v>
      </c>
      <c r="H41" s="91">
        <v>978286565.33000004</v>
      </c>
      <c r="I41" s="91">
        <v>288303941.31</v>
      </c>
      <c r="J41" s="91">
        <v>157637015.09</v>
      </c>
      <c r="K41" s="91">
        <v>231618471.86000001</v>
      </c>
      <c r="L41" s="91">
        <v>520032074.37</v>
      </c>
      <c r="M41" s="91">
        <v>2535957367.73</v>
      </c>
      <c r="N41" s="91">
        <v>84276787.340000004</v>
      </c>
      <c r="O41" s="91">
        <v>194383356.12</v>
      </c>
      <c r="P41" s="91">
        <v>2263070631.1900001</v>
      </c>
      <c r="Q41" s="91">
        <v>396467517.69</v>
      </c>
      <c r="R41" s="91">
        <v>8295620805.7299995</v>
      </c>
      <c r="S41" s="90" t="s">
        <v>344</v>
      </c>
      <c r="T41" s="288"/>
      <c r="U41" s="263"/>
    </row>
    <row r="42" spans="2:21" x14ac:dyDescent="0.35">
      <c r="B42" s="234"/>
      <c r="C42" s="250" t="s">
        <v>73</v>
      </c>
      <c r="D42" s="88" t="s">
        <v>313</v>
      </c>
      <c r="E42" s="89">
        <v>78339</v>
      </c>
      <c r="F42" s="89">
        <v>397219</v>
      </c>
      <c r="G42" s="89">
        <v>511076</v>
      </c>
      <c r="H42" s="89">
        <v>878705</v>
      </c>
      <c r="I42" s="89">
        <v>225486</v>
      </c>
      <c r="J42" s="89">
        <v>203501</v>
      </c>
      <c r="K42" s="89">
        <v>115401</v>
      </c>
      <c r="L42" s="89">
        <v>773333</v>
      </c>
      <c r="M42" s="89">
        <v>3363459</v>
      </c>
      <c r="N42" s="89">
        <v>112498</v>
      </c>
      <c r="O42" s="89">
        <v>75809</v>
      </c>
      <c r="P42" s="89">
        <v>1082452</v>
      </c>
      <c r="Q42" s="89">
        <v>218853</v>
      </c>
      <c r="R42" s="89">
        <v>8036131</v>
      </c>
      <c r="S42" s="88" t="s">
        <v>312</v>
      </c>
      <c r="T42" s="287" t="s">
        <v>89</v>
      </c>
      <c r="U42" s="263"/>
    </row>
    <row r="43" spans="2:21" x14ac:dyDescent="0.35">
      <c r="B43" s="234"/>
      <c r="C43" s="251"/>
      <c r="D43" s="90" t="s">
        <v>345</v>
      </c>
      <c r="E43" s="91">
        <v>61416722.789999999</v>
      </c>
      <c r="F43" s="91">
        <v>534286112.25</v>
      </c>
      <c r="G43" s="91">
        <v>443419047.86000001</v>
      </c>
      <c r="H43" s="91">
        <v>797590403.87</v>
      </c>
      <c r="I43" s="91">
        <v>268120504.86000001</v>
      </c>
      <c r="J43" s="91">
        <v>190280689.25999999</v>
      </c>
      <c r="K43" s="91">
        <v>192350335.97</v>
      </c>
      <c r="L43" s="91">
        <v>1036537489.29</v>
      </c>
      <c r="M43" s="91">
        <v>4447572018.0100002</v>
      </c>
      <c r="N43" s="91">
        <v>170981905.19</v>
      </c>
      <c r="O43" s="91">
        <v>176358251.40000001</v>
      </c>
      <c r="P43" s="91">
        <v>1449650324.51</v>
      </c>
      <c r="Q43" s="91">
        <v>346053136.75</v>
      </c>
      <c r="R43" s="91">
        <v>10114616942.01</v>
      </c>
      <c r="S43" s="90" t="s">
        <v>344</v>
      </c>
      <c r="T43" s="288"/>
      <c r="U43" s="263"/>
    </row>
    <row r="44" spans="2:21" x14ac:dyDescent="0.35">
      <c r="B44" s="234"/>
      <c r="C44" s="250" t="s">
        <v>74</v>
      </c>
      <c r="D44" s="88" t="s">
        <v>313</v>
      </c>
      <c r="E44" s="89">
        <v>91577</v>
      </c>
      <c r="F44" s="89">
        <v>375143</v>
      </c>
      <c r="G44" s="89">
        <v>490109</v>
      </c>
      <c r="H44" s="89">
        <v>1128741</v>
      </c>
      <c r="I44" s="89">
        <v>165272</v>
      </c>
      <c r="J44" s="89">
        <v>156446</v>
      </c>
      <c r="K44" s="89">
        <v>104358</v>
      </c>
      <c r="L44" s="89">
        <v>603769</v>
      </c>
      <c r="M44" s="89">
        <v>2072431</v>
      </c>
      <c r="N44" s="89">
        <v>90649</v>
      </c>
      <c r="O44" s="89">
        <v>98049</v>
      </c>
      <c r="P44" s="89">
        <v>1623135</v>
      </c>
      <c r="Q44" s="89">
        <v>246430</v>
      </c>
      <c r="R44" s="89">
        <v>7246109</v>
      </c>
      <c r="S44" s="88" t="s">
        <v>312</v>
      </c>
      <c r="T44" s="287" t="s">
        <v>90</v>
      </c>
      <c r="U44" s="263"/>
    </row>
    <row r="45" spans="2:21" x14ac:dyDescent="0.35">
      <c r="B45" s="234"/>
      <c r="C45" s="251"/>
      <c r="D45" s="90" t="s">
        <v>345</v>
      </c>
      <c r="E45" s="91">
        <v>68818934.489999995</v>
      </c>
      <c r="F45" s="91">
        <v>340394915.94</v>
      </c>
      <c r="G45" s="91">
        <v>569106753</v>
      </c>
      <c r="H45" s="91">
        <v>1252936120.23</v>
      </c>
      <c r="I45" s="91">
        <v>282932204.13999999</v>
      </c>
      <c r="J45" s="91">
        <v>143273643.27000001</v>
      </c>
      <c r="K45" s="91">
        <v>254815106.46000001</v>
      </c>
      <c r="L45" s="91">
        <v>633968863.46000004</v>
      </c>
      <c r="M45" s="91">
        <v>2726102856.2800002</v>
      </c>
      <c r="N45" s="91">
        <v>133190084.69</v>
      </c>
      <c r="O45" s="91">
        <v>209774551.90000001</v>
      </c>
      <c r="P45" s="91">
        <v>2341705111.5999999</v>
      </c>
      <c r="Q45" s="91">
        <v>568517938.17999995</v>
      </c>
      <c r="R45" s="91">
        <v>9525537083.6399994</v>
      </c>
      <c r="S45" s="90" t="s">
        <v>344</v>
      </c>
      <c r="T45" s="288"/>
      <c r="U45" s="263"/>
    </row>
    <row r="46" spans="2:21" x14ac:dyDescent="0.35">
      <c r="B46" s="234"/>
      <c r="C46" s="250" t="s">
        <v>75</v>
      </c>
      <c r="D46" s="88" t="s">
        <v>313</v>
      </c>
      <c r="E46" s="89">
        <v>29098</v>
      </c>
      <c r="F46" s="89">
        <v>232384</v>
      </c>
      <c r="G46" s="89">
        <v>268463</v>
      </c>
      <c r="H46" s="89">
        <v>632441</v>
      </c>
      <c r="I46" s="89">
        <v>98517</v>
      </c>
      <c r="J46" s="89">
        <v>97318</v>
      </c>
      <c r="K46" s="89">
        <v>75748</v>
      </c>
      <c r="L46" s="89">
        <v>279202</v>
      </c>
      <c r="M46" s="89">
        <v>1189735</v>
      </c>
      <c r="N46" s="89">
        <v>52823</v>
      </c>
      <c r="O46" s="89">
        <v>45107</v>
      </c>
      <c r="P46" s="89">
        <v>873794</v>
      </c>
      <c r="Q46" s="89">
        <v>158157</v>
      </c>
      <c r="R46" s="89">
        <v>4032787</v>
      </c>
      <c r="S46" s="88" t="s">
        <v>312</v>
      </c>
      <c r="T46" s="287" t="s">
        <v>91</v>
      </c>
      <c r="U46" s="263"/>
    </row>
    <row r="47" spans="2:21" x14ac:dyDescent="0.35">
      <c r="B47" s="234"/>
      <c r="C47" s="251"/>
      <c r="D47" s="90" t="s">
        <v>345</v>
      </c>
      <c r="E47" s="91">
        <v>25895176.969999999</v>
      </c>
      <c r="F47" s="91">
        <v>330377940.12</v>
      </c>
      <c r="G47" s="91">
        <v>345598808.50999999</v>
      </c>
      <c r="H47" s="91">
        <v>787501056.09000003</v>
      </c>
      <c r="I47" s="91">
        <v>221798856.38</v>
      </c>
      <c r="J47" s="91">
        <v>129748514.28</v>
      </c>
      <c r="K47" s="91">
        <v>231549026.08000001</v>
      </c>
      <c r="L47" s="91">
        <v>399915175.91000003</v>
      </c>
      <c r="M47" s="91">
        <v>1525397237.8900001</v>
      </c>
      <c r="N47" s="91">
        <v>126517583.75</v>
      </c>
      <c r="O47" s="91">
        <v>131892626.40000001</v>
      </c>
      <c r="P47" s="91">
        <v>1312292114.3900001</v>
      </c>
      <c r="Q47" s="91">
        <v>432669681.75999999</v>
      </c>
      <c r="R47" s="91">
        <v>6001153798.5299997</v>
      </c>
      <c r="S47" s="90" t="s">
        <v>344</v>
      </c>
      <c r="T47" s="288"/>
      <c r="U47" s="263"/>
    </row>
    <row r="48" spans="2:21" x14ac:dyDescent="0.35">
      <c r="B48" s="234"/>
      <c r="C48" s="250" t="s">
        <v>76</v>
      </c>
      <c r="D48" s="88" t="s">
        <v>313</v>
      </c>
      <c r="E48" s="89">
        <v>413843</v>
      </c>
      <c r="F48" s="89">
        <v>541155</v>
      </c>
      <c r="G48" s="89">
        <v>1494638</v>
      </c>
      <c r="H48" s="89">
        <v>1146011</v>
      </c>
      <c r="I48" s="89">
        <v>379081</v>
      </c>
      <c r="J48" s="89">
        <v>261060</v>
      </c>
      <c r="K48" s="89">
        <v>165665</v>
      </c>
      <c r="L48" s="89">
        <v>889452</v>
      </c>
      <c r="M48" s="89">
        <v>3022765</v>
      </c>
      <c r="N48" s="89">
        <v>183918</v>
      </c>
      <c r="O48" s="89">
        <v>134903</v>
      </c>
      <c r="P48" s="89">
        <v>1801836</v>
      </c>
      <c r="Q48" s="89">
        <v>361227</v>
      </c>
      <c r="R48" s="89">
        <v>10795554</v>
      </c>
      <c r="S48" s="88" t="s">
        <v>312</v>
      </c>
      <c r="T48" s="287" t="s">
        <v>92</v>
      </c>
      <c r="U48" s="263"/>
    </row>
    <row r="49" spans="2:21" x14ac:dyDescent="0.35">
      <c r="B49" s="234"/>
      <c r="C49" s="251"/>
      <c r="D49" s="90" t="s">
        <v>345</v>
      </c>
      <c r="E49" s="91">
        <v>416487508.36000001</v>
      </c>
      <c r="F49" s="91">
        <v>548675529.28999996</v>
      </c>
      <c r="G49" s="91">
        <v>2425442001.1799998</v>
      </c>
      <c r="H49" s="91">
        <v>1303936194.54</v>
      </c>
      <c r="I49" s="91">
        <v>928571708.61000001</v>
      </c>
      <c r="J49" s="91">
        <v>287003714.16000003</v>
      </c>
      <c r="K49" s="91">
        <v>458794641.63</v>
      </c>
      <c r="L49" s="91">
        <v>1226082726.53</v>
      </c>
      <c r="M49" s="91">
        <v>5525141166.3500004</v>
      </c>
      <c r="N49" s="91">
        <v>418252613.13</v>
      </c>
      <c r="O49" s="91">
        <v>493686343.06999999</v>
      </c>
      <c r="P49" s="91">
        <v>2748868808.3600001</v>
      </c>
      <c r="Q49" s="91">
        <v>875841185.5</v>
      </c>
      <c r="R49" s="91">
        <v>17656784140.709999</v>
      </c>
      <c r="S49" s="90" t="s">
        <v>344</v>
      </c>
      <c r="T49" s="288"/>
      <c r="U49" s="263"/>
    </row>
    <row r="50" spans="2:21" x14ac:dyDescent="0.35">
      <c r="B50" s="234"/>
      <c r="C50" s="250" t="s">
        <v>77</v>
      </c>
      <c r="D50" s="88" t="s">
        <v>313</v>
      </c>
      <c r="E50" s="89">
        <v>157036</v>
      </c>
      <c r="F50" s="89">
        <v>274187</v>
      </c>
      <c r="G50" s="89">
        <v>742808</v>
      </c>
      <c r="H50" s="89">
        <v>873699</v>
      </c>
      <c r="I50" s="89">
        <v>169923</v>
      </c>
      <c r="J50" s="89">
        <v>195716</v>
      </c>
      <c r="K50" s="89">
        <v>133570</v>
      </c>
      <c r="L50" s="89">
        <v>539423</v>
      </c>
      <c r="M50" s="89">
        <v>1966858</v>
      </c>
      <c r="N50" s="89">
        <v>122891</v>
      </c>
      <c r="O50" s="89">
        <v>82483</v>
      </c>
      <c r="P50" s="89">
        <v>1503380</v>
      </c>
      <c r="Q50" s="89">
        <v>246464</v>
      </c>
      <c r="R50" s="89">
        <v>7008438</v>
      </c>
      <c r="S50" s="88" t="s">
        <v>312</v>
      </c>
      <c r="T50" s="287" t="s">
        <v>93</v>
      </c>
      <c r="U50" s="263"/>
    </row>
    <row r="51" spans="2:21" x14ac:dyDescent="0.35">
      <c r="B51" s="234"/>
      <c r="C51" s="251"/>
      <c r="D51" s="90" t="s">
        <v>345</v>
      </c>
      <c r="E51" s="91">
        <v>170320838.87</v>
      </c>
      <c r="F51" s="91">
        <v>371096227.13999999</v>
      </c>
      <c r="G51" s="91">
        <v>990019382.64999998</v>
      </c>
      <c r="H51" s="91">
        <v>1055113415.4299999</v>
      </c>
      <c r="I51" s="91">
        <v>751781896.03999996</v>
      </c>
      <c r="J51" s="91">
        <v>186803287.91999999</v>
      </c>
      <c r="K51" s="91">
        <v>401196906.75</v>
      </c>
      <c r="L51" s="91">
        <v>712499087.48000002</v>
      </c>
      <c r="M51" s="91">
        <v>2891239073.21</v>
      </c>
      <c r="N51" s="91">
        <v>193997182.59</v>
      </c>
      <c r="O51" s="91">
        <v>335707040.30000001</v>
      </c>
      <c r="P51" s="91">
        <v>2750234369.5700002</v>
      </c>
      <c r="Q51" s="91">
        <v>422177251.98000002</v>
      </c>
      <c r="R51" s="91">
        <v>11232185959.93</v>
      </c>
      <c r="S51" s="90" t="s">
        <v>344</v>
      </c>
      <c r="T51" s="288"/>
      <c r="U51" s="263"/>
    </row>
    <row r="52" spans="2:21" x14ac:dyDescent="0.35">
      <c r="B52" s="234"/>
      <c r="C52" s="250" t="s">
        <v>78</v>
      </c>
      <c r="D52" s="88" t="s">
        <v>313</v>
      </c>
      <c r="E52" s="89">
        <v>34420</v>
      </c>
      <c r="F52" s="89">
        <v>279147</v>
      </c>
      <c r="G52" s="89">
        <v>253448</v>
      </c>
      <c r="H52" s="89">
        <v>670397</v>
      </c>
      <c r="I52" s="89">
        <v>116986</v>
      </c>
      <c r="J52" s="89">
        <v>120434</v>
      </c>
      <c r="K52" s="89">
        <v>61761</v>
      </c>
      <c r="L52" s="89">
        <v>344752</v>
      </c>
      <c r="M52" s="89">
        <v>1169428</v>
      </c>
      <c r="N52" s="89">
        <v>48028</v>
      </c>
      <c r="O52" s="89">
        <v>60338</v>
      </c>
      <c r="P52" s="89">
        <v>891212</v>
      </c>
      <c r="Q52" s="89">
        <v>145688</v>
      </c>
      <c r="R52" s="89">
        <v>4196039</v>
      </c>
      <c r="S52" s="88" t="s">
        <v>312</v>
      </c>
      <c r="T52" s="287" t="s">
        <v>94</v>
      </c>
      <c r="U52" s="263"/>
    </row>
    <row r="53" spans="2:21" x14ac:dyDescent="0.35">
      <c r="B53" s="234"/>
      <c r="C53" s="251"/>
      <c r="D53" s="90" t="s">
        <v>345</v>
      </c>
      <c r="E53" s="91">
        <v>34828734.469999999</v>
      </c>
      <c r="F53" s="91">
        <v>317271865.82999998</v>
      </c>
      <c r="G53" s="91">
        <v>254441303.41</v>
      </c>
      <c r="H53" s="91">
        <v>731982242.12</v>
      </c>
      <c r="I53" s="91">
        <v>167667225.47999999</v>
      </c>
      <c r="J53" s="91">
        <v>129896221.12</v>
      </c>
      <c r="K53" s="91">
        <v>95193961.170000002</v>
      </c>
      <c r="L53" s="91">
        <v>344665592.20999998</v>
      </c>
      <c r="M53" s="91">
        <v>1342439030.47</v>
      </c>
      <c r="N53" s="91">
        <v>56310508.799999997</v>
      </c>
      <c r="O53" s="91">
        <v>100742633.51000001</v>
      </c>
      <c r="P53" s="91">
        <v>1428693961.77</v>
      </c>
      <c r="Q53" s="91">
        <v>228139593.03999999</v>
      </c>
      <c r="R53" s="91">
        <v>5232272873.3999996</v>
      </c>
      <c r="S53" s="90" t="s">
        <v>344</v>
      </c>
      <c r="T53" s="288"/>
      <c r="U53" s="263"/>
    </row>
    <row r="54" spans="2:21" x14ac:dyDescent="0.35">
      <c r="B54" s="234"/>
      <c r="C54" s="250" t="s">
        <v>79</v>
      </c>
      <c r="D54" s="88" t="s">
        <v>313</v>
      </c>
      <c r="E54" s="89">
        <v>31937</v>
      </c>
      <c r="F54" s="89">
        <v>189074</v>
      </c>
      <c r="G54" s="89">
        <v>292372</v>
      </c>
      <c r="H54" s="89">
        <v>868031</v>
      </c>
      <c r="I54" s="89">
        <v>107016</v>
      </c>
      <c r="J54" s="89">
        <v>227956</v>
      </c>
      <c r="K54" s="89">
        <v>102999</v>
      </c>
      <c r="L54" s="89">
        <v>360375</v>
      </c>
      <c r="M54" s="89">
        <v>1185032</v>
      </c>
      <c r="N54" s="89">
        <v>81145</v>
      </c>
      <c r="O54" s="89">
        <v>66126</v>
      </c>
      <c r="P54" s="89">
        <v>1149141</v>
      </c>
      <c r="Q54" s="89">
        <v>176982</v>
      </c>
      <c r="R54" s="89">
        <v>4838186</v>
      </c>
      <c r="S54" s="88" t="s">
        <v>312</v>
      </c>
      <c r="T54" s="287" t="s">
        <v>95</v>
      </c>
      <c r="U54" s="263"/>
    </row>
    <row r="55" spans="2:21" x14ac:dyDescent="0.35">
      <c r="B55" s="234"/>
      <c r="C55" s="251"/>
      <c r="D55" s="90" t="s">
        <v>345</v>
      </c>
      <c r="E55" s="91">
        <v>40754130.060000002</v>
      </c>
      <c r="F55" s="91">
        <v>199908269.88999999</v>
      </c>
      <c r="G55" s="91">
        <v>260242927.78</v>
      </c>
      <c r="H55" s="91">
        <v>943969219.70000005</v>
      </c>
      <c r="I55" s="91">
        <v>148016943.72999999</v>
      </c>
      <c r="J55" s="91">
        <v>162284287.50999999</v>
      </c>
      <c r="K55" s="91">
        <v>105546008.04000001</v>
      </c>
      <c r="L55" s="91">
        <v>356269073.37</v>
      </c>
      <c r="M55" s="91">
        <v>1321300980.25</v>
      </c>
      <c r="N55" s="91">
        <v>124259759.2</v>
      </c>
      <c r="O55" s="91">
        <v>94840254.540000007</v>
      </c>
      <c r="P55" s="91">
        <v>1737077956.1800001</v>
      </c>
      <c r="Q55" s="91">
        <v>449574342.41000003</v>
      </c>
      <c r="R55" s="91">
        <v>5944044152.6599998</v>
      </c>
      <c r="S55" s="90" t="s">
        <v>344</v>
      </c>
      <c r="T55" s="288"/>
      <c r="U55" s="263"/>
    </row>
    <row r="56" spans="2:21" x14ac:dyDescent="0.35">
      <c r="B56" s="234"/>
      <c r="C56" s="250" t="s">
        <v>80</v>
      </c>
      <c r="D56" s="88" t="s">
        <v>313</v>
      </c>
      <c r="E56" s="89">
        <v>34633</v>
      </c>
      <c r="F56" s="89">
        <v>415283</v>
      </c>
      <c r="G56" s="89">
        <v>393973</v>
      </c>
      <c r="H56" s="89">
        <v>1058265</v>
      </c>
      <c r="I56" s="89">
        <v>203065</v>
      </c>
      <c r="J56" s="89">
        <v>304567</v>
      </c>
      <c r="K56" s="89">
        <v>105520</v>
      </c>
      <c r="L56" s="89">
        <v>529551</v>
      </c>
      <c r="M56" s="89">
        <v>1911198</v>
      </c>
      <c r="N56" s="89">
        <v>101670</v>
      </c>
      <c r="O56" s="89">
        <v>96409</v>
      </c>
      <c r="P56" s="89">
        <v>1643791</v>
      </c>
      <c r="Q56" s="89">
        <v>205224</v>
      </c>
      <c r="R56" s="89">
        <v>7003149</v>
      </c>
      <c r="S56" s="88" t="s">
        <v>312</v>
      </c>
      <c r="T56" s="287" t="s">
        <v>96</v>
      </c>
      <c r="U56" s="263"/>
    </row>
    <row r="57" spans="2:21" x14ac:dyDescent="0.35">
      <c r="B57" s="234"/>
      <c r="C57" s="251"/>
      <c r="D57" s="90" t="s">
        <v>345</v>
      </c>
      <c r="E57" s="91">
        <v>28262940.469999999</v>
      </c>
      <c r="F57" s="91">
        <v>334157429.14999998</v>
      </c>
      <c r="G57" s="91">
        <v>298618666.56999999</v>
      </c>
      <c r="H57" s="91">
        <v>1382214502.8399999</v>
      </c>
      <c r="I57" s="91">
        <v>219405803.83000001</v>
      </c>
      <c r="J57" s="91">
        <v>205692209.31999999</v>
      </c>
      <c r="K57" s="91">
        <v>96786640.299999997</v>
      </c>
      <c r="L57" s="91">
        <v>533460099</v>
      </c>
      <c r="M57" s="91">
        <v>2104436500.29</v>
      </c>
      <c r="N57" s="91">
        <v>150093324.61000001</v>
      </c>
      <c r="O57" s="91">
        <v>133103423.11</v>
      </c>
      <c r="P57" s="91">
        <v>2508875563.52</v>
      </c>
      <c r="Q57" s="91">
        <v>265020531.68000001</v>
      </c>
      <c r="R57" s="91">
        <v>8260127634.6899996</v>
      </c>
      <c r="S57" s="90" t="s">
        <v>344</v>
      </c>
      <c r="T57" s="288"/>
      <c r="U57" s="263"/>
    </row>
    <row r="58" spans="2:21" x14ac:dyDescent="0.35">
      <c r="B58" s="234"/>
      <c r="C58" s="250" t="s">
        <v>81</v>
      </c>
      <c r="D58" s="88" t="s">
        <v>313</v>
      </c>
      <c r="E58" s="89">
        <v>20168</v>
      </c>
      <c r="F58" s="89">
        <v>258492</v>
      </c>
      <c r="G58" s="89">
        <v>250184</v>
      </c>
      <c r="H58" s="89">
        <v>678578</v>
      </c>
      <c r="I58" s="89">
        <v>129187</v>
      </c>
      <c r="J58" s="89">
        <v>238446</v>
      </c>
      <c r="K58" s="89">
        <v>63736</v>
      </c>
      <c r="L58" s="89">
        <v>366580</v>
      </c>
      <c r="M58" s="89">
        <v>1125115</v>
      </c>
      <c r="N58" s="89">
        <v>52356</v>
      </c>
      <c r="O58" s="89">
        <v>54444</v>
      </c>
      <c r="P58" s="89">
        <v>978457</v>
      </c>
      <c r="Q58" s="89">
        <v>134512</v>
      </c>
      <c r="R58" s="89">
        <v>4350255</v>
      </c>
      <c r="S58" s="88" t="s">
        <v>312</v>
      </c>
      <c r="T58" s="287" t="s">
        <v>97</v>
      </c>
      <c r="U58" s="263"/>
    </row>
    <row r="59" spans="2:21" x14ac:dyDescent="0.35">
      <c r="B59" s="235"/>
      <c r="C59" s="251"/>
      <c r="D59" s="90" t="s">
        <v>345</v>
      </c>
      <c r="E59" s="91">
        <v>13110752.609999999</v>
      </c>
      <c r="F59" s="91">
        <v>249927776.19</v>
      </c>
      <c r="G59" s="91">
        <v>211460475.34</v>
      </c>
      <c r="H59" s="91">
        <v>651402062.48000002</v>
      </c>
      <c r="I59" s="91">
        <v>163604555.80000001</v>
      </c>
      <c r="J59" s="91">
        <v>178170765.38999999</v>
      </c>
      <c r="K59" s="91">
        <v>49775151.479999997</v>
      </c>
      <c r="L59" s="91">
        <v>365666234.56</v>
      </c>
      <c r="M59" s="91">
        <v>932482642.15999997</v>
      </c>
      <c r="N59" s="91">
        <v>83654699.450000003</v>
      </c>
      <c r="O59" s="91">
        <v>63029455.359999999</v>
      </c>
      <c r="P59" s="91">
        <v>1411915914.6800001</v>
      </c>
      <c r="Q59" s="91">
        <v>134147760.91</v>
      </c>
      <c r="R59" s="91">
        <v>4508348246.4099998</v>
      </c>
      <c r="S59" s="90" t="s">
        <v>344</v>
      </c>
      <c r="T59" s="288"/>
      <c r="U59" s="264"/>
    </row>
    <row r="60" spans="2:21" x14ac:dyDescent="0.35">
      <c r="B60" s="254" t="s">
        <v>82</v>
      </c>
      <c r="C60" s="255"/>
      <c r="D60" s="92" t="s">
        <v>313</v>
      </c>
      <c r="E60" s="93">
        <v>1021043</v>
      </c>
      <c r="F60" s="93">
        <v>4054065</v>
      </c>
      <c r="G60" s="93">
        <v>5971170</v>
      </c>
      <c r="H60" s="93">
        <v>11139453</v>
      </c>
      <c r="I60" s="93">
        <v>2148543</v>
      </c>
      <c r="J60" s="93">
        <v>2487702</v>
      </c>
      <c r="K60" s="93">
        <v>1252504</v>
      </c>
      <c r="L60" s="93">
        <v>6220574</v>
      </c>
      <c r="M60" s="93">
        <v>22663371</v>
      </c>
      <c r="N60" s="93">
        <v>1109519</v>
      </c>
      <c r="O60" s="93">
        <v>1014636</v>
      </c>
      <c r="P60" s="93">
        <v>16143782</v>
      </c>
      <c r="Q60" s="93">
        <v>2610139</v>
      </c>
      <c r="R60" s="93">
        <v>77836501</v>
      </c>
      <c r="S60" s="92" t="s">
        <v>312</v>
      </c>
      <c r="T60" s="258" t="s">
        <v>98</v>
      </c>
      <c r="U60" s="259"/>
    </row>
    <row r="61" spans="2:21" x14ac:dyDescent="0.35">
      <c r="B61" s="256"/>
      <c r="C61" s="257"/>
      <c r="D61" s="94" t="s">
        <v>345</v>
      </c>
      <c r="E61" s="95">
        <v>1000449059.72</v>
      </c>
      <c r="F61" s="95">
        <v>4478658490.8000002</v>
      </c>
      <c r="G61" s="95">
        <v>7067865544.6099997</v>
      </c>
      <c r="H61" s="95">
        <v>12683286817.809999</v>
      </c>
      <c r="I61" s="95">
        <v>4007809434.6999998</v>
      </c>
      <c r="J61" s="95">
        <v>2339047782.3000002</v>
      </c>
      <c r="K61" s="95">
        <v>2620718119.3699999</v>
      </c>
      <c r="L61" s="95">
        <v>7571598445.1700001</v>
      </c>
      <c r="M61" s="95">
        <v>30647244143.709999</v>
      </c>
      <c r="N61" s="95">
        <v>1943284175.3099999</v>
      </c>
      <c r="O61" s="95">
        <v>2573839791.5300002</v>
      </c>
      <c r="P61" s="95">
        <v>24947077797.580002</v>
      </c>
      <c r="Q61" s="95">
        <v>5378336661.9700003</v>
      </c>
      <c r="R61" s="95">
        <v>107259216264.58</v>
      </c>
      <c r="S61" s="94" t="s">
        <v>344</v>
      </c>
      <c r="T61" s="260"/>
      <c r="U61" s="261"/>
    </row>
    <row r="62" spans="2:21" x14ac:dyDescent="0.35">
      <c r="B62" s="233">
        <v>2023</v>
      </c>
      <c r="C62" s="250" t="s">
        <v>70</v>
      </c>
      <c r="D62" s="88" t="s">
        <v>313</v>
      </c>
      <c r="E62" s="89">
        <v>39183</v>
      </c>
      <c r="F62" s="89">
        <v>279751</v>
      </c>
      <c r="G62" s="89">
        <v>393207</v>
      </c>
      <c r="H62" s="89">
        <v>956874</v>
      </c>
      <c r="I62" s="89">
        <v>124398</v>
      </c>
      <c r="J62" s="89">
        <v>521061</v>
      </c>
      <c r="K62" s="89">
        <v>74255</v>
      </c>
      <c r="L62" s="89">
        <v>424782</v>
      </c>
      <c r="M62" s="89">
        <v>1723958</v>
      </c>
      <c r="N62" s="89">
        <v>106398</v>
      </c>
      <c r="O62" s="89">
        <v>93776</v>
      </c>
      <c r="P62" s="89">
        <v>1364905</v>
      </c>
      <c r="Q62" s="89">
        <v>191408</v>
      </c>
      <c r="R62" s="89">
        <v>6293956</v>
      </c>
      <c r="S62" s="88" t="s">
        <v>312</v>
      </c>
      <c r="T62" s="287" t="s">
        <v>86</v>
      </c>
      <c r="U62" s="262">
        <v>2023</v>
      </c>
    </row>
    <row r="63" spans="2:21" x14ac:dyDescent="0.35">
      <c r="B63" s="234"/>
      <c r="C63" s="251"/>
      <c r="D63" s="90" t="s">
        <v>345</v>
      </c>
      <c r="E63" s="91">
        <v>32259515.850000001</v>
      </c>
      <c r="F63" s="91">
        <v>287333543.31</v>
      </c>
      <c r="G63" s="91">
        <v>397087960.62</v>
      </c>
      <c r="H63" s="91">
        <v>1038780546.58</v>
      </c>
      <c r="I63" s="91">
        <v>203215462.33000001</v>
      </c>
      <c r="J63" s="91">
        <v>528780738.86000001</v>
      </c>
      <c r="K63" s="91">
        <v>131689080.81</v>
      </c>
      <c r="L63" s="91">
        <v>456189849.99000001</v>
      </c>
      <c r="M63" s="91">
        <v>1847830260.46</v>
      </c>
      <c r="N63" s="91">
        <v>163502538.90000001</v>
      </c>
      <c r="O63" s="91">
        <v>175185618.25</v>
      </c>
      <c r="P63" s="91">
        <v>2769144034</v>
      </c>
      <c r="Q63" s="91">
        <v>302364430.94</v>
      </c>
      <c r="R63" s="91">
        <v>8333363580.8999996</v>
      </c>
      <c r="S63" s="90" t="s">
        <v>344</v>
      </c>
      <c r="T63" s="288"/>
      <c r="U63" s="263"/>
    </row>
    <row r="64" spans="2:21" x14ac:dyDescent="0.35">
      <c r="B64" s="234"/>
      <c r="C64" s="250" t="s">
        <v>71</v>
      </c>
      <c r="D64" s="88" t="s">
        <v>313</v>
      </c>
      <c r="E64" s="89">
        <v>30045</v>
      </c>
      <c r="F64" s="89">
        <v>438099</v>
      </c>
      <c r="G64" s="89">
        <v>356988</v>
      </c>
      <c r="H64" s="89">
        <v>936612</v>
      </c>
      <c r="I64" s="89">
        <v>127236</v>
      </c>
      <c r="J64" s="89">
        <v>338442</v>
      </c>
      <c r="K64" s="89">
        <v>79146</v>
      </c>
      <c r="L64" s="89">
        <v>390244</v>
      </c>
      <c r="M64" s="89">
        <v>1445499</v>
      </c>
      <c r="N64" s="89">
        <v>76058</v>
      </c>
      <c r="O64" s="89">
        <v>91724</v>
      </c>
      <c r="P64" s="89">
        <v>1130922</v>
      </c>
      <c r="Q64" s="89">
        <v>166622</v>
      </c>
      <c r="R64" s="89">
        <v>5607637</v>
      </c>
      <c r="S64" s="88" t="s">
        <v>312</v>
      </c>
      <c r="T64" s="287" t="s">
        <v>87</v>
      </c>
      <c r="U64" s="263"/>
    </row>
    <row r="65" spans="2:21" x14ac:dyDescent="0.35">
      <c r="B65" s="234"/>
      <c r="C65" s="251"/>
      <c r="D65" s="90" t="s">
        <v>345</v>
      </c>
      <c r="E65" s="91">
        <v>44424048.119999997</v>
      </c>
      <c r="F65" s="91">
        <v>448811010.16000003</v>
      </c>
      <c r="G65" s="91">
        <v>405315793.98000002</v>
      </c>
      <c r="H65" s="91">
        <v>1143373256.21</v>
      </c>
      <c r="I65" s="91">
        <v>178383095.16</v>
      </c>
      <c r="J65" s="91">
        <v>453010342.08999997</v>
      </c>
      <c r="K65" s="91">
        <v>149182207.25</v>
      </c>
      <c r="L65" s="91">
        <v>430928872.48000002</v>
      </c>
      <c r="M65" s="91">
        <v>1788620353.6700001</v>
      </c>
      <c r="N65" s="91">
        <v>136582152.16999999</v>
      </c>
      <c r="O65" s="91">
        <v>176718788.27000001</v>
      </c>
      <c r="P65" s="91">
        <v>1993535097.8800001</v>
      </c>
      <c r="Q65" s="91">
        <v>272232632.36000001</v>
      </c>
      <c r="R65" s="91">
        <v>7621117649.8000002</v>
      </c>
      <c r="S65" s="90" t="s">
        <v>344</v>
      </c>
      <c r="T65" s="288"/>
      <c r="U65" s="263"/>
    </row>
    <row r="66" spans="2:21" x14ac:dyDescent="0.35">
      <c r="B66" s="234"/>
      <c r="C66" s="250" t="s">
        <v>72</v>
      </c>
      <c r="D66" s="88" t="s">
        <v>313</v>
      </c>
      <c r="E66" s="89">
        <v>53008</v>
      </c>
      <c r="F66" s="89">
        <v>312158</v>
      </c>
      <c r="G66" s="89">
        <v>450288</v>
      </c>
      <c r="H66" s="89">
        <v>1117327</v>
      </c>
      <c r="I66" s="89">
        <v>201187</v>
      </c>
      <c r="J66" s="89">
        <v>240104</v>
      </c>
      <c r="K66" s="89">
        <v>97938</v>
      </c>
      <c r="L66" s="89">
        <v>500722</v>
      </c>
      <c r="M66" s="89">
        <v>1965067</v>
      </c>
      <c r="N66" s="89">
        <v>76835</v>
      </c>
      <c r="O66" s="89">
        <v>85893</v>
      </c>
      <c r="P66" s="89">
        <v>1180665</v>
      </c>
      <c r="Q66" s="89">
        <v>220964</v>
      </c>
      <c r="R66" s="89">
        <v>6502156</v>
      </c>
      <c r="S66" s="88" t="s">
        <v>312</v>
      </c>
      <c r="T66" s="287" t="s">
        <v>88</v>
      </c>
      <c r="U66" s="263"/>
    </row>
    <row r="67" spans="2:21" x14ac:dyDescent="0.35">
      <c r="B67" s="234"/>
      <c r="C67" s="251"/>
      <c r="D67" s="90" t="s">
        <v>345</v>
      </c>
      <c r="E67" s="91">
        <v>59309281.100000001</v>
      </c>
      <c r="F67" s="91">
        <v>385995850.89999998</v>
      </c>
      <c r="G67" s="91">
        <v>617216263.75</v>
      </c>
      <c r="H67" s="91">
        <v>1423126473.49</v>
      </c>
      <c r="I67" s="91">
        <v>243875162.53</v>
      </c>
      <c r="J67" s="91">
        <v>347790230.81</v>
      </c>
      <c r="K67" s="91">
        <v>140012221.19999999</v>
      </c>
      <c r="L67" s="91">
        <v>646830190.54999995</v>
      </c>
      <c r="M67" s="91">
        <v>2864291013.4699998</v>
      </c>
      <c r="N67" s="91">
        <v>141789560.81</v>
      </c>
      <c r="O67" s="91">
        <v>180779926.21000001</v>
      </c>
      <c r="P67" s="91">
        <v>2357876062.6500001</v>
      </c>
      <c r="Q67" s="91">
        <v>334596504.72000003</v>
      </c>
      <c r="R67" s="91">
        <v>9743488742.1900005</v>
      </c>
      <c r="S67" s="90" t="s">
        <v>344</v>
      </c>
      <c r="T67" s="288"/>
      <c r="U67" s="263"/>
    </row>
    <row r="68" spans="2:21" x14ac:dyDescent="0.35">
      <c r="B68" s="234"/>
      <c r="C68" s="250" t="s">
        <v>73</v>
      </c>
      <c r="D68" s="88" t="s">
        <v>313</v>
      </c>
      <c r="E68" s="89">
        <v>69457</v>
      </c>
      <c r="F68" s="89">
        <v>573190</v>
      </c>
      <c r="G68" s="89">
        <v>469950</v>
      </c>
      <c r="H68" s="89">
        <v>1141790</v>
      </c>
      <c r="I68" s="89">
        <v>163058</v>
      </c>
      <c r="J68" s="89">
        <v>215626</v>
      </c>
      <c r="K68" s="89">
        <v>98404</v>
      </c>
      <c r="L68" s="89">
        <v>553587</v>
      </c>
      <c r="M68" s="89">
        <v>2163229</v>
      </c>
      <c r="N68" s="89">
        <v>97739</v>
      </c>
      <c r="O68" s="89">
        <v>94872</v>
      </c>
      <c r="P68" s="89">
        <v>1042259</v>
      </c>
      <c r="Q68" s="89">
        <v>198135</v>
      </c>
      <c r="R68" s="89">
        <v>6881296</v>
      </c>
      <c r="S68" s="88" t="s">
        <v>312</v>
      </c>
      <c r="T68" s="287" t="s">
        <v>89</v>
      </c>
      <c r="U68" s="263"/>
    </row>
    <row r="69" spans="2:21" x14ac:dyDescent="0.35">
      <c r="B69" s="234"/>
      <c r="C69" s="251"/>
      <c r="D69" s="90" t="s">
        <v>345</v>
      </c>
      <c r="E69" s="91">
        <v>90482742.810000002</v>
      </c>
      <c r="F69" s="91">
        <v>692933820.60000002</v>
      </c>
      <c r="G69" s="91">
        <v>708148341.72000003</v>
      </c>
      <c r="H69" s="91">
        <v>1481223649.0999999</v>
      </c>
      <c r="I69" s="91">
        <v>282337931.5</v>
      </c>
      <c r="J69" s="91">
        <v>314431900.61000001</v>
      </c>
      <c r="K69" s="91">
        <v>119424114.09</v>
      </c>
      <c r="L69" s="91">
        <v>585522793.09000003</v>
      </c>
      <c r="M69" s="91">
        <v>3091998275.71</v>
      </c>
      <c r="N69" s="91">
        <v>108139320.48999999</v>
      </c>
      <c r="O69" s="91">
        <v>129929124.51000001</v>
      </c>
      <c r="P69" s="91">
        <v>1561498914.72</v>
      </c>
      <c r="Q69" s="91">
        <v>261976607.18000001</v>
      </c>
      <c r="R69" s="91">
        <v>9428047536.1299992</v>
      </c>
      <c r="S69" s="90" t="s">
        <v>344</v>
      </c>
      <c r="T69" s="288"/>
      <c r="U69" s="263"/>
    </row>
    <row r="70" spans="2:21" x14ac:dyDescent="0.35">
      <c r="B70" s="234"/>
      <c r="C70" s="250" t="s">
        <v>74</v>
      </c>
      <c r="D70" s="88" t="s">
        <v>313</v>
      </c>
      <c r="E70" s="89">
        <v>60160</v>
      </c>
      <c r="F70" s="89">
        <v>239156</v>
      </c>
      <c r="G70" s="89">
        <v>400197</v>
      </c>
      <c r="H70" s="89">
        <v>902744</v>
      </c>
      <c r="I70" s="89">
        <v>98837</v>
      </c>
      <c r="J70" s="89">
        <v>92206</v>
      </c>
      <c r="K70" s="89">
        <v>63512</v>
      </c>
      <c r="L70" s="89">
        <v>353315</v>
      </c>
      <c r="M70" s="89">
        <v>1424077</v>
      </c>
      <c r="N70" s="89">
        <v>63019</v>
      </c>
      <c r="O70" s="89">
        <v>56611</v>
      </c>
      <c r="P70" s="89">
        <v>1060746</v>
      </c>
      <c r="Q70" s="89">
        <v>188411</v>
      </c>
      <c r="R70" s="89">
        <v>5002991</v>
      </c>
      <c r="S70" s="88" t="s">
        <v>312</v>
      </c>
      <c r="T70" s="287" t="s">
        <v>90</v>
      </c>
      <c r="U70" s="263"/>
    </row>
    <row r="71" spans="2:21" x14ac:dyDescent="0.35">
      <c r="B71" s="234"/>
      <c r="C71" s="251"/>
      <c r="D71" s="90" t="s">
        <v>345</v>
      </c>
      <c r="E71" s="91">
        <v>60308176.079999998</v>
      </c>
      <c r="F71" s="91">
        <v>328844999.01999998</v>
      </c>
      <c r="G71" s="91">
        <v>445087402.85000002</v>
      </c>
      <c r="H71" s="91">
        <v>1281479060.72</v>
      </c>
      <c r="I71" s="91">
        <v>158954442.91</v>
      </c>
      <c r="J71" s="91">
        <v>128564293.66</v>
      </c>
      <c r="K71" s="91">
        <v>66347488.009999998</v>
      </c>
      <c r="L71" s="91">
        <v>373609572.47000003</v>
      </c>
      <c r="M71" s="91">
        <v>1883922231.6800001</v>
      </c>
      <c r="N71" s="91">
        <v>71110193.400000006</v>
      </c>
      <c r="O71" s="91">
        <v>117727117.55</v>
      </c>
      <c r="P71" s="91">
        <v>1518754823.6800001</v>
      </c>
      <c r="Q71" s="91">
        <v>278846758.60000002</v>
      </c>
      <c r="R71" s="91">
        <v>6713556560.6300001</v>
      </c>
      <c r="S71" s="90" t="s">
        <v>344</v>
      </c>
      <c r="T71" s="288"/>
      <c r="U71" s="263"/>
    </row>
    <row r="72" spans="2:21" x14ac:dyDescent="0.35">
      <c r="B72" s="234"/>
      <c r="C72" s="250" t="s">
        <v>75</v>
      </c>
      <c r="D72" s="88" t="s">
        <v>313</v>
      </c>
      <c r="E72" s="89">
        <v>265081</v>
      </c>
      <c r="F72" s="89">
        <v>616403</v>
      </c>
      <c r="G72" s="89">
        <v>1271029</v>
      </c>
      <c r="H72" s="89">
        <v>1395174</v>
      </c>
      <c r="I72" s="89">
        <v>241338</v>
      </c>
      <c r="J72" s="89">
        <v>174731</v>
      </c>
      <c r="K72" s="89">
        <v>140792</v>
      </c>
      <c r="L72" s="89">
        <v>650764</v>
      </c>
      <c r="M72" s="89">
        <v>2726540</v>
      </c>
      <c r="N72" s="89">
        <v>156630</v>
      </c>
      <c r="O72" s="89">
        <v>134262</v>
      </c>
      <c r="P72" s="89">
        <v>1488316</v>
      </c>
      <c r="Q72" s="89">
        <v>286800</v>
      </c>
      <c r="R72" s="89">
        <v>9547860</v>
      </c>
      <c r="S72" s="88" t="s">
        <v>312</v>
      </c>
      <c r="T72" s="287" t="s">
        <v>91</v>
      </c>
      <c r="U72" s="263"/>
    </row>
    <row r="73" spans="2:21" x14ac:dyDescent="0.35">
      <c r="B73" s="234"/>
      <c r="C73" s="251"/>
      <c r="D73" s="90" t="s">
        <v>345</v>
      </c>
      <c r="E73" s="91">
        <v>333593080.00999999</v>
      </c>
      <c r="F73" s="91">
        <v>789866877.69000006</v>
      </c>
      <c r="G73" s="91">
        <v>1876418114.3499999</v>
      </c>
      <c r="H73" s="91">
        <v>1681866034.0599999</v>
      </c>
      <c r="I73" s="91">
        <v>369684068.35000002</v>
      </c>
      <c r="J73" s="91">
        <v>287018200.06</v>
      </c>
      <c r="K73" s="91">
        <v>188805278.71000001</v>
      </c>
      <c r="L73" s="91">
        <v>689960043.58000004</v>
      </c>
      <c r="M73" s="91">
        <v>5891430331.1700001</v>
      </c>
      <c r="N73" s="91">
        <v>237702768.25999999</v>
      </c>
      <c r="O73" s="91">
        <v>286359870.79000002</v>
      </c>
      <c r="P73" s="91">
        <v>2273401953.9699998</v>
      </c>
      <c r="Q73" s="91">
        <v>505486594.56999999</v>
      </c>
      <c r="R73" s="91">
        <v>15411593215.57</v>
      </c>
      <c r="S73" s="90" t="s">
        <v>344</v>
      </c>
      <c r="T73" s="288"/>
      <c r="U73" s="263"/>
    </row>
    <row r="74" spans="2:21" x14ac:dyDescent="0.35">
      <c r="B74" s="234"/>
      <c r="C74" s="250" t="s">
        <v>76</v>
      </c>
      <c r="D74" s="88" t="s">
        <v>313</v>
      </c>
      <c r="E74" s="89">
        <v>249008</v>
      </c>
      <c r="F74" s="89">
        <v>384155</v>
      </c>
      <c r="G74" s="89">
        <v>1174176</v>
      </c>
      <c r="H74" s="89">
        <v>1222664</v>
      </c>
      <c r="I74" s="89">
        <v>130601</v>
      </c>
      <c r="J74" s="89">
        <v>131357</v>
      </c>
      <c r="K74" s="89">
        <v>100025</v>
      </c>
      <c r="L74" s="89">
        <v>523139</v>
      </c>
      <c r="M74" s="89">
        <v>2204132</v>
      </c>
      <c r="N74" s="89">
        <v>104720</v>
      </c>
      <c r="O74" s="89">
        <v>85676</v>
      </c>
      <c r="P74" s="89">
        <v>1497871</v>
      </c>
      <c r="Q74" s="89">
        <v>310732</v>
      </c>
      <c r="R74" s="89">
        <v>8118256</v>
      </c>
      <c r="S74" s="88" t="s">
        <v>312</v>
      </c>
      <c r="T74" s="287" t="s">
        <v>92</v>
      </c>
      <c r="U74" s="263"/>
    </row>
    <row r="75" spans="2:21" x14ac:dyDescent="0.35">
      <c r="B75" s="234"/>
      <c r="C75" s="251"/>
      <c r="D75" s="90" t="s">
        <v>345</v>
      </c>
      <c r="E75" s="91">
        <v>345643555.62</v>
      </c>
      <c r="F75" s="91">
        <v>545137601.48000002</v>
      </c>
      <c r="G75" s="91">
        <v>1879727433.55</v>
      </c>
      <c r="H75" s="91">
        <v>1511213106.47</v>
      </c>
      <c r="I75" s="91">
        <v>201965979.87</v>
      </c>
      <c r="J75" s="91">
        <v>168547397.41999999</v>
      </c>
      <c r="K75" s="91">
        <v>241909400.34999999</v>
      </c>
      <c r="L75" s="91">
        <v>439188406.43000001</v>
      </c>
      <c r="M75" s="91">
        <v>2802709649.5900002</v>
      </c>
      <c r="N75" s="91">
        <v>111713419.44</v>
      </c>
      <c r="O75" s="91">
        <v>98630290.489999995</v>
      </c>
      <c r="P75" s="91">
        <v>2438841377.8200002</v>
      </c>
      <c r="Q75" s="91">
        <v>475582344.95999998</v>
      </c>
      <c r="R75" s="91">
        <v>11260809963.49</v>
      </c>
      <c r="S75" s="90" t="s">
        <v>344</v>
      </c>
      <c r="T75" s="288"/>
      <c r="U75" s="263"/>
    </row>
    <row r="76" spans="2:21" x14ac:dyDescent="0.35">
      <c r="B76" s="234"/>
      <c r="C76" s="250" t="s">
        <v>77</v>
      </c>
      <c r="D76" s="88" t="s">
        <v>313</v>
      </c>
      <c r="E76" s="89">
        <v>104824</v>
      </c>
      <c r="F76" s="89">
        <v>304713</v>
      </c>
      <c r="G76" s="89">
        <v>622125</v>
      </c>
      <c r="H76" s="89">
        <v>1197714</v>
      </c>
      <c r="I76" s="89">
        <v>134874</v>
      </c>
      <c r="J76" s="89">
        <v>154179</v>
      </c>
      <c r="K76" s="89">
        <v>82476</v>
      </c>
      <c r="L76" s="89">
        <v>525512</v>
      </c>
      <c r="M76" s="89">
        <v>1975918</v>
      </c>
      <c r="N76" s="89">
        <v>95194</v>
      </c>
      <c r="O76" s="89">
        <v>77579</v>
      </c>
      <c r="P76" s="89">
        <v>1449446</v>
      </c>
      <c r="Q76" s="89">
        <v>261394</v>
      </c>
      <c r="R76" s="89">
        <v>6985948</v>
      </c>
      <c r="S76" s="88" t="s">
        <v>312</v>
      </c>
      <c r="T76" s="287" t="s">
        <v>93</v>
      </c>
      <c r="U76" s="263"/>
    </row>
    <row r="77" spans="2:21" x14ac:dyDescent="0.35">
      <c r="B77" s="234"/>
      <c r="C77" s="251"/>
      <c r="D77" s="90" t="s">
        <v>345</v>
      </c>
      <c r="E77" s="91">
        <v>87179752.629999995</v>
      </c>
      <c r="F77" s="91">
        <v>421191519.60000002</v>
      </c>
      <c r="G77" s="91">
        <v>692011026.69000006</v>
      </c>
      <c r="H77" s="91">
        <v>1541475919.28</v>
      </c>
      <c r="I77" s="91">
        <v>166100533.99000001</v>
      </c>
      <c r="J77" s="91">
        <v>207248534.66999999</v>
      </c>
      <c r="K77" s="91">
        <v>103321666.84999999</v>
      </c>
      <c r="L77" s="91">
        <v>527780902.64999998</v>
      </c>
      <c r="M77" s="91">
        <v>2159581462.75</v>
      </c>
      <c r="N77" s="91">
        <v>94008944.959999993</v>
      </c>
      <c r="O77" s="91">
        <v>161675028.59</v>
      </c>
      <c r="P77" s="91">
        <v>2072123481.4000001</v>
      </c>
      <c r="Q77" s="91">
        <v>393059530.26999998</v>
      </c>
      <c r="R77" s="91">
        <v>8626758304.3299999</v>
      </c>
      <c r="S77" s="90" t="s">
        <v>344</v>
      </c>
      <c r="T77" s="288"/>
      <c r="U77" s="263"/>
    </row>
    <row r="78" spans="2:21" x14ac:dyDescent="0.35">
      <c r="B78" s="234"/>
      <c r="C78" s="250" t="s">
        <v>78</v>
      </c>
      <c r="D78" s="88" t="s">
        <v>313</v>
      </c>
      <c r="E78" s="89">
        <v>62547</v>
      </c>
      <c r="F78" s="89">
        <v>306215</v>
      </c>
      <c r="G78" s="89">
        <v>444083</v>
      </c>
      <c r="H78" s="89">
        <v>1092625</v>
      </c>
      <c r="I78" s="89">
        <v>141959</v>
      </c>
      <c r="J78" s="89">
        <v>142383</v>
      </c>
      <c r="K78" s="89">
        <v>90373</v>
      </c>
      <c r="L78" s="89">
        <v>454869</v>
      </c>
      <c r="M78" s="89">
        <v>1584524</v>
      </c>
      <c r="N78" s="89">
        <v>96795</v>
      </c>
      <c r="O78" s="89">
        <v>72992</v>
      </c>
      <c r="P78" s="89">
        <v>1357970</v>
      </c>
      <c r="Q78" s="89">
        <v>226492</v>
      </c>
      <c r="R78" s="89">
        <v>6073827</v>
      </c>
      <c r="S78" s="88" t="s">
        <v>312</v>
      </c>
      <c r="T78" s="287" t="s">
        <v>94</v>
      </c>
      <c r="U78" s="263"/>
    </row>
    <row r="79" spans="2:21" x14ac:dyDescent="0.35">
      <c r="B79" s="234"/>
      <c r="C79" s="251"/>
      <c r="D79" s="90" t="s">
        <v>345</v>
      </c>
      <c r="E79" s="91">
        <v>52442867.93</v>
      </c>
      <c r="F79" s="91">
        <v>269280241.79000002</v>
      </c>
      <c r="G79" s="91">
        <v>587243710.61000001</v>
      </c>
      <c r="H79" s="91">
        <v>1526308843.29</v>
      </c>
      <c r="I79" s="91">
        <v>303571791.41000003</v>
      </c>
      <c r="J79" s="91">
        <v>169281908.13</v>
      </c>
      <c r="K79" s="91">
        <v>99242542.090000004</v>
      </c>
      <c r="L79" s="91">
        <v>468771268.06999999</v>
      </c>
      <c r="M79" s="91">
        <v>1933728733.1800001</v>
      </c>
      <c r="N79" s="91">
        <v>221809465.55000001</v>
      </c>
      <c r="O79" s="91">
        <v>98590080.840000004</v>
      </c>
      <c r="P79" s="91">
        <v>2327375994.4299998</v>
      </c>
      <c r="Q79" s="91">
        <v>251237861.44</v>
      </c>
      <c r="R79" s="91">
        <v>8308885308.7600002</v>
      </c>
      <c r="S79" s="90" t="s">
        <v>344</v>
      </c>
      <c r="T79" s="288"/>
      <c r="U79" s="263"/>
    </row>
    <row r="80" spans="2:21" x14ac:dyDescent="0.35">
      <c r="B80" s="234"/>
      <c r="C80" s="250" t="s">
        <v>79</v>
      </c>
      <c r="D80" s="88" t="s">
        <v>313</v>
      </c>
      <c r="E80" s="89">
        <v>40069</v>
      </c>
      <c r="F80" s="89">
        <v>321187</v>
      </c>
      <c r="G80" s="89">
        <v>405887</v>
      </c>
      <c r="H80" s="89">
        <v>1071765</v>
      </c>
      <c r="I80" s="89">
        <v>124394</v>
      </c>
      <c r="J80" s="89">
        <v>173738</v>
      </c>
      <c r="K80" s="89">
        <v>89601</v>
      </c>
      <c r="L80" s="89">
        <v>444321</v>
      </c>
      <c r="M80" s="89">
        <v>1610516</v>
      </c>
      <c r="N80" s="89">
        <v>87871</v>
      </c>
      <c r="O80" s="89">
        <v>83342</v>
      </c>
      <c r="P80" s="89">
        <v>1476108</v>
      </c>
      <c r="Q80" s="89">
        <v>273220</v>
      </c>
      <c r="R80" s="89">
        <v>6202019</v>
      </c>
      <c r="S80" s="88" t="s">
        <v>312</v>
      </c>
      <c r="T80" s="287" t="s">
        <v>95</v>
      </c>
      <c r="U80" s="263"/>
    </row>
    <row r="81" spans="2:21" x14ac:dyDescent="0.35">
      <c r="B81" s="234"/>
      <c r="C81" s="251"/>
      <c r="D81" s="90" t="s">
        <v>345</v>
      </c>
      <c r="E81" s="91">
        <v>46273684.649999999</v>
      </c>
      <c r="F81" s="91">
        <v>559250754.80999994</v>
      </c>
      <c r="G81" s="91">
        <v>623931098.37</v>
      </c>
      <c r="H81" s="91">
        <v>1404267760.1900001</v>
      </c>
      <c r="I81" s="91">
        <v>182639236.02000001</v>
      </c>
      <c r="J81" s="91">
        <v>230649736.80000001</v>
      </c>
      <c r="K81" s="91">
        <v>142314923.47</v>
      </c>
      <c r="L81" s="91">
        <v>406987207.19999999</v>
      </c>
      <c r="M81" s="91">
        <v>1707396135.48</v>
      </c>
      <c r="N81" s="91">
        <v>270084319.12</v>
      </c>
      <c r="O81" s="91">
        <v>128733541.95999999</v>
      </c>
      <c r="P81" s="91">
        <v>3033582739.5999999</v>
      </c>
      <c r="Q81" s="91">
        <v>333798787.64999998</v>
      </c>
      <c r="R81" s="91">
        <v>9069909925.3199997</v>
      </c>
      <c r="S81" s="90" t="s">
        <v>344</v>
      </c>
      <c r="T81" s="288"/>
      <c r="U81" s="263"/>
    </row>
    <row r="82" spans="2:21" x14ac:dyDescent="0.35">
      <c r="B82" s="234"/>
      <c r="C82" s="250" t="s">
        <v>80</v>
      </c>
      <c r="D82" s="88" t="s">
        <v>313</v>
      </c>
      <c r="E82" s="89">
        <v>53722</v>
      </c>
      <c r="F82" s="89">
        <v>454746</v>
      </c>
      <c r="G82" s="89">
        <v>498450</v>
      </c>
      <c r="H82" s="89">
        <v>1404080</v>
      </c>
      <c r="I82" s="89">
        <v>216386</v>
      </c>
      <c r="J82" s="89">
        <v>397525</v>
      </c>
      <c r="K82" s="89">
        <v>135644</v>
      </c>
      <c r="L82" s="89">
        <v>678525</v>
      </c>
      <c r="M82" s="89">
        <v>2143437</v>
      </c>
      <c r="N82" s="89">
        <v>100409</v>
      </c>
      <c r="O82" s="89">
        <v>111255</v>
      </c>
      <c r="P82" s="89">
        <v>1765195</v>
      </c>
      <c r="Q82" s="89">
        <v>260953</v>
      </c>
      <c r="R82" s="89">
        <v>8220327</v>
      </c>
      <c r="S82" s="88" t="s">
        <v>312</v>
      </c>
      <c r="T82" s="287" t="s">
        <v>96</v>
      </c>
      <c r="U82" s="263"/>
    </row>
    <row r="83" spans="2:21" x14ac:dyDescent="0.35">
      <c r="B83" s="234"/>
      <c r="C83" s="251"/>
      <c r="D83" s="90" t="s">
        <v>345</v>
      </c>
      <c r="E83" s="91">
        <v>39580898.740000002</v>
      </c>
      <c r="F83" s="91">
        <v>497989963.63</v>
      </c>
      <c r="G83" s="91">
        <v>641930308.82000005</v>
      </c>
      <c r="H83" s="91">
        <v>1652264468.1800001</v>
      </c>
      <c r="I83" s="91">
        <v>255884048.22</v>
      </c>
      <c r="J83" s="91">
        <v>530026853.75</v>
      </c>
      <c r="K83" s="91">
        <v>190255766.72999999</v>
      </c>
      <c r="L83" s="91">
        <v>642794451.34000003</v>
      </c>
      <c r="M83" s="91">
        <v>2256558503.6399999</v>
      </c>
      <c r="N83" s="91">
        <v>206124828.15000001</v>
      </c>
      <c r="O83" s="91">
        <v>244937409.53</v>
      </c>
      <c r="P83" s="91">
        <v>3251684597.8699999</v>
      </c>
      <c r="Q83" s="91">
        <v>359184427.49000001</v>
      </c>
      <c r="R83" s="91">
        <v>10769216526.09</v>
      </c>
      <c r="S83" s="90" t="s">
        <v>344</v>
      </c>
      <c r="T83" s="288"/>
      <c r="U83" s="263"/>
    </row>
    <row r="84" spans="2:21" x14ac:dyDescent="0.35">
      <c r="B84" s="234"/>
      <c r="C84" s="250" t="s">
        <v>81</v>
      </c>
      <c r="D84" s="88" t="s">
        <v>313</v>
      </c>
      <c r="E84" s="89">
        <v>43725</v>
      </c>
      <c r="F84" s="89">
        <v>334759</v>
      </c>
      <c r="G84" s="89">
        <v>419708</v>
      </c>
      <c r="H84" s="89">
        <v>1017995</v>
      </c>
      <c r="I84" s="89">
        <v>131549</v>
      </c>
      <c r="J84" s="89">
        <v>341530</v>
      </c>
      <c r="K84" s="89">
        <v>86711</v>
      </c>
      <c r="L84" s="89">
        <v>503420</v>
      </c>
      <c r="M84" s="89">
        <v>1658113</v>
      </c>
      <c r="N84" s="89">
        <v>98814</v>
      </c>
      <c r="O84" s="89">
        <v>82463</v>
      </c>
      <c r="P84" s="89">
        <v>1533375</v>
      </c>
      <c r="Q84" s="89">
        <v>231927</v>
      </c>
      <c r="R84" s="89">
        <v>6484089</v>
      </c>
      <c r="S84" s="88" t="s">
        <v>312</v>
      </c>
      <c r="T84" s="287" t="s">
        <v>97</v>
      </c>
      <c r="U84" s="263"/>
    </row>
    <row r="85" spans="2:21" x14ac:dyDescent="0.35">
      <c r="B85" s="235"/>
      <c r="C85" s="251"/>
      <c r="D85" s="90" t="s">
        <v>345</v>
      </c>
      <c r="E85" s="91">
        <v>45747470.530000001</v>
      </c>
      <c r="F85" s="91">
        <v>427476890.06999999</v>
      </c>
      <c r="G85" s="91">
        <v>660786370.70000005</v>
      </c>
      <c r="H85" s="91">
        <v>1106544241.29</v>
      </c>
      <c r="I85" s="91">
        <v>233608853.22999999</v>
      </c>
      <c r="J85" s="91">
        <v>350595897.19999999</v>
      </c>
      <c r="K85" s="91">
        <v>110642758.25</v>
      </c>
      <c r="L85" s="91">
        <v>596799989.89999998</v>
      </c>
      <c r="M85" s="91">
        <v>1713005008.8599999</v>
      </c>
      <c r="N85" s="91">
        <v>278723766.20999998</v>
      </c>
      <c r="O85" s="91">
        <v>184752049.72999999</v>
      </c>
      <c r="P85" s="91">
        <v>2978127647.9000001</v>
      </c>
      <c r="Q85" s="91">
        <v>433175293.22000003</v>
      </c>
      <c r="R85" s="91">
        <v>9119986237.0900002</v>
      </c>
      <c r="S85" s="90" t="s">
        <v>344</v>
      </c>
      <c r="T85" s="288"/>
      <c r="U85" s="264"/>
    </row>
    <row r="86" spans="2:21" x14ac:dyDescent="0.35">
      <c r="B86" s="254" t="s">
        <v>82</v>
      </c>
      <c r="C86" s="255"/>
      <c r="D86" s="92" t="s">
        <v>313</v>
      </c>
      <c r="E86" s="93">
        <v>1070829</v>
      </c>
      <c r="F86" s="93">
        <v>4564532</v>
      </c>
      <c r="G86" s="93">
        <v>6906088</v>
      </c>
      <c r="H86" s="93">
        <v>13457364</v>
      </c>
      <c r="I86" s="93">
        <v>1835817</v>
      </c>
      <c r="J86" s="93">
        <v>2922882</v>
      </c>
      <c r="K86" s="93">
        <v>1138877</v>
      </c>
      <c r="L86" s="93">
        <v>6003200</v>
      </c>
      <c r="M86" s="93">
        <v>22625010</v>
      </c>
      <c r="N86" s="93">
        <v>1160482</v>
      </c>
      <c r="O86" s="93">
        <v>1070445</v>
      </c>
      <c r="P86" s="93">
        <v>16347778</v>
      </c>
      <c r="Q86" s="93">
        <v>2817058</v>
      </c>
      <c r="R86" s="93">
        <v>81920362</v>
      </c>
      <c r="S86" s="92" t="s">
        <v>312</v>
      </c>
      <c r="T86" s="258" t="s">
        <v>98</v>
      </c>
      <c r="U86" s="259"/>
    </row>
    <row r="87" spans="2:21" x14ac:dyDescent="0.35">
      <c r="B87" s="256"/>
      <c r="C87" s="257"/>
      <c r="D87" s="94" t="s">
        <v>345</v>
      </c>
      <c r="E87" s="95">
        <v>1237245074.0699999</v>
      </c>
      <c r="F87" s="95">
        <v>5654113073.0600004</v>
      </c>
      <c r="G87" s="95">
        <v>9534903826.0100002</v>
      </c>
      <c r="H87" s="95">
        <v>16791923358.860001</v>
      </c>
      <c r="I87" s="95">
        <v>2780220605.52</v>
      </c>
      <c r="J87" s="95">
        <v>3715946034.0599999</v>
      </c>
      <c r="K87" s="95">
        <v>1683147447.8099999</v>
      </c>
      <c r="L87" s="95">
        <v>6265363547.75</v>
      </c>
      <c r="M87" s="95">
        <v>29941071959.66</v>
      </c>
      <c r="N87" s="95">
        <v>2041291277.46</v>
      </c>
      <c r="O87" s="95">
        <v>1984018846.72</v>
      </c>
      <c r="P87" s="95">
        <v>28575946725.919998</v>
      </c>
      <c r="Q87" s="95">
        <v>4201541773.4000001</v>
      </c>
      <c r="R87" s="95">
        <v>114406733550.3</v>
      </c>
      <c r="S87" s="94" t="s">
        <v>344</v>
      </c>
      <c r="T87" s="260"/>
      <c r="U87" s="261"/>
    </row>
    <row r="88" spans="2:21" x14ac:dyDescent="0.35">
      <c r="B88" s="233">
        <v>2024</v>
      </c>
      <c r="C88" s="250" t="s">
        <v>70</v>
      </c>
      <c r="D88" s="88" t="s">
        <v>313</v>
      </c>
      <c r="E88" s="89">
        <v>44701</v>
      </c>
      <c r="F88" s="89">
        <v>435481</v>
      </c>
      <c r="G88" s="89">
        <v>554385</v>
      </c>
      <c r="H88" s="89">
        <v>1133445</v>
      </c>
      <c r="I88" s="89">
        <v>133628</v>
      </c>
      <c r="J88" s="89">
        <v>454280</v>
      </c>
      <c r="K88" s="89">
        <v>92400</v>
      </c>
      <c r="L88" s="89">
        <v>637698</v>
      </c>
      <c r="M88" s="89">
        <v>2135135</v>
      </c>
      <c r="N88" s="89">
        <v>120437</v>
      </c>
      <c r="O88" s="89">
        <v>82261</v>
      </c>
      <c r="P88" s="89">
        <v>1696506</v>
      </c>
      <c r="Q88" s="89">
        <v>260008</v>
      </c>
      <c r="R88" s="89">
        <v>7780365</v>
      </c>
      <c r="S88" s="88" t="s">
        <v>312</v>
      </c>
      <c r="T88" s="287" t="s">
        <v>86</v>
      </c>
      <c r="U88" s="262">
        <v>2024</v>
      </c>
    </row>
    <row r="89" spans="2:21" x14ac:dyDescent="0.35">
      <c r="B89" s="234"/>
      <c r="C89" s="251"/>
      <c r="D89" s="90" t="s">
        <v>345</v>
      </c>
      <c r="E89" s="91">
        <v>38430313.270000003</v>
      </c>
      <c r="F89" s="91">
        <v>425609119.87</v>
      </c>
      <c r="G89" s="91">
        <v>559112729.63</v>
      </c>
      <c r="H89" s="91">
        <v>1467411106.24</v>
      </c>
      <c r="I89" s="91">
        <v>236760225.69999999</v>
      </c>
      <c r="J89" s="91">
        <v>495279563.86000001</v>
      </c>
      <c r="K89" s="91">
        <v>168749346.21000001</v>
      </c>
      <c r="L89" s="91">
        <v>594130652.84000003</v>
      </c>
      <c r="M89" s="91">
        <v>2252313241.29</v>
      </c>
      <c r="N89" s="91">
        <v>449218669.44999999</v>
      </c>
      <c r="O89" s="91">
        <v>89752975.439999998</v>
      </c>
      <c r="P89" s="91">
        <v>2897083563.8400002</v>
      </c>
      <c r="Q89" s="91">
        <v>366569819.88999999</v>
      </c>
      <c r="R89" s="91">
        <v>10040421327.530001</v>
      </c>
      <c r="S89" s="90" t="s">
        <v>344</v>
      </c>
      <c r="T89" s="288"/>
      <c r="U89" s="263"/>
    </row>
    <row r="90" spans="2:21" x14ac:dyDescent="0.35">
      <c r="B90" s="234"/>
      <c r="C90" s="250" t="s">
        <v>71</v>
      </c>
      <c r="D90" s="88" t="s">
        <v>313</v>
      </c>
      <c r="E90" s="89">
        <v>41915</v>
      </c>
      <c r="F90" s="89">
        <v>477909</v>
      </c>
      <c r="G90" s="89">
        <v>528633</v>
      </c>
      <c r="H90" s="89">
        <v>1241736</v>
      </c>
      <c r="I90" s="89">
        <v>196016</v>
      </c>
      <c r="J90" s="89">
        <v>352227</v>
      </c>
      <c r="K90" s="89">
        <v>114966</v>
      </c>
      <c r="L90" s="89">
        <v>609115</v>
      </c>
      <c r="M90" s="89">
        <v>2018545</v>
      </c>
      <c r="N90" s="89">
        <v>95812</v>
      </c>
      <c r="O90" s="89">
        <v>102827</v>
      </c>
      <c r="P90" s="89">
        <v>1688569</v>
      </c>
      <c r="Q90" s="89">
        <v>274432</v>
      </c>
      <c r="R90" s="89">
        <v>7742702</v>
      </c>
      <c r="S90" s="88" t="s">
        <v>312</v>
      </c>
      <c r="T90" s="287" t="s">
        <v>87</v>
      </c>
      <c r="U90" s="263"/>
    </row>
    <row r="91" spans="2:21" x14ac:dyDescent="0.35">
      <c r="B91" s="234"/>
      <c r="C91" s="251"/>
      <c r="D91" s="90" t="s">
        <v>345</v>
      </c>
      <c r="E91" s="91">
        <v>33640064.490000002</v>
      </c>
      <c r="F91" s="91">
        <v>648486399.47000003</v>
      </c>
      <c r="G91" s="91">
        <v>561436683.50999999</v>
      </c>
      <c r="H91" s="91">
        <v>1811007765.73</v>
      </c>
      <c r="I91" s="91">
        <v>364737437.13</v>
      </c>
      <c r="J91" s="91">
        <v>331659596.63</v>
      </c>
      <c r="K91" s="91">
        <v>185273460.66999999</v>
      </c>
      <c r="L91" s="91">
        <v>605525582.62</v>
      </c>
      <c r="M91" s="91">
        <v>2156921583.8899999</v>
      </c>
      <c r="N91" s="91">
        <v>166313685.34</v>
      </c>
      <c r="O91" s="91">
        <v>118916028</v>
      </c>
      <c r="P91" s="91">
        <v>2795104387.1199999</v>
      </c>
      <c r="Q91" s="91">
        <v>402921022.77999997</v>
      </c>
      <c r="R91" s="91">
        <v>10181943697.379999</v>
      </c>
      <c r="S91" s="90" t="s">
        <v>344</v>
      </c>
      <c r="T91" s="288"/>
      <c r="U91" s="263"/>
    </row>
    <row r="92" spans="2:21" x14ac:dyDescent="0.35">
      <c r="B92" s="234"/>
      <c r="C92" s="250" t="s">
        <v>72</v>
      </c>
      <c r="D92" s="88" t="s">
        <v>313</v>
      </c>
      <c r="E92" s="89">
        <v>45114</v>
      </c>
      <c r="F92" s="89">
        <v>277375</v>
      </c>
      <c r="G92" s="89">
        <v>524248</v>
      </c>
      <c r="H92" s="89">
        <v>892688</v>
      </c>
      <c r="I92" s="89">
        <v>135111</v>
      </c>
      <c r="J92" s="89">
        <v>129139</v>
      </c>
      <c r="K92" s="89">
        <v>88409</v>
      </c>
      <c r="L92" s="89">
        <v>568953</v>
      </c>
      <c r="M92" s="89">
        <v>2517482</v>
      </c>
      <c r="N92" s="89">
        <v>105698</v>
      </c>
      <c r="O92" s="89">
        <v>83606</v>
      </c>
      <c r="P92" s="89">
        <v>1191443</v>
      </c>
      <c r="Q92" s="89">
        <v>243313</v>
      </c>
      <c r="R92" s="89">
        <v>6802579</v>
      </c>
      <c r="S92" s="88" t="s">
        <v>312</v>
      </c>
      <c r="T92" s="287" t="s">
        <v>88</v>
      </c>
      <c r="U92" s="263"/>
    </row>
    <row r="93" spans="2:21" x14ac:dyDescent="0.35">
      <c r="B93" s="234"/>
      <c r="C93" s="251"/>
      <c r="D93" s="90" t="s">
        <v>345</v>
      </c>
      <c r="E93" s="91">
        <v>49942571.32</v>
      </c>
      <c r="F93" s="91">
        <v>221091632.09</v>
      </c>
      <c r="G93" s="91">
        <v>741196004.28999996</v>
      </c>
      <c r="H93" s="91">
        <v>950988664.54999995</v>
      </c>
      <c r="I93" s="91">
        <v>186542718.31</v>
      </c>
      <c r="J93" s="91">
        <v>144744890.78</v>
      </c>
      <c r="K93" s="91">
        <v>140370933.41</v>
      </c>
      <c r="L93" s="91">
        <v>1011327501.17</v>
      </c>
      <c r="M93" s="91">
        <v>3737683085.8499999</v>
      </c>
      <c r="N93" s="91">
        <v>146855550.97999999</v>
      </c>
      <c r="O93" s="91">
        <v>167921070.90000001</v>
      </c>
      <c r="P93" s="91">
        <v>2262170097.4200001</v>
      </c>
      <c r="Q93" s="91">
        <v>298131056.35000002</v>
      </c>
      <c r="R93" s="91">
        <v>10058965777.42</v>
      </c>
      <c r="S93" s="90" t="s">
        <v>344</v>
      </c>
      <c r="T93" s="288"/>
      <c r="U93" s="263"/>
    </row>
    <row r="94" spans="2:21" x14ac:dyDescent="0.35">
      <c r="B94" s="234"/>
      <c r="C94" s="250" t="s">
        <v>73</v>
      </c>
      <c r="D94" s="88" t="s">
        <v>313</v>
      </c>
      <c r="E94" s="89">
        <v>71249</v>
      </c>
      <c r="F94" s="89">
        <v>449364</v>
      </c>
      <c r="G94" s="89">
        <v>496668</v>
      </c>
      <c r="H94" s="89">
        <v>1268867</v>
      </c>
      <c r="I94" s="89">
        <v>150185</v>
      </c>
      <c r="J94" s="89">
        <v>145104</v>
      </c>
      <c r="K94" s="89">
        <v>91797</v>
      </c>
      <c r="L94" s="89">
        <v>667065</v>
      </c>
      <c r="M94" s="89">
        <v>2011082</v>
      </c>
      <c r="N94" s="89">
        <v>100388</v>
      </c>
      <c r="O94" s="89">
        <v>94253</v>
      </c>
      <c r="P94" s="89">
        <v>1405900</v>
      </c>
      <c r="Q94" s="89">
        <v>248480</v>
      </c>
      <c r="R94" s="89">
        <v>7200402</v>
      </c>
      <c r="S94" s="88" t="s">
        <v>312</v>
      </c>
      <c r="T94" s="287" t="s">
        <v>89</v>
      </c>
      <c r="U94" s="263"/>
    </row>
    <row r="95" spans="2:21" x14ac:dyDescent="0.35">
      <c r="B95" s="234"/>
      <c r="C95" s="251"/>
      <c r="D95" s="90" t="s">
        <v>345</v>
      </c>
      <c r="E95" s="91">
        <v>50245198.119999997</v>
      </c>
      <c r="F95" s="91">
        <v>395594796.63999999</v>
      </c>
      <c r="G95" s="91">
        <v>419069699.10000002</v>
      </c>
      <c r="H95" s="91">
        <v>1346053913.46</v>
      </c>
      <c r="I95" s="91">
        <v>206463368.00999999</v>
      </c>
      <c r="J95" s="91">
        <v>134944784.31</v>
      </c>
      <c r="K95" s="91">
        <v>96280391.489999995</v>
      </c>
      <c r="L95" s="91">
        <v>661073151.72000003</v>
      </c>
      <c r="M95" s="91">
        <v>2387193655.73</v>
      </c>
      <c r="N95" s="91">
        <v>137238871.78999999</v>
      </c>
      <c r="O95" s="91">
        <v>138538427.63999999</v>
      </c>
      <c r="P95" s="91">
        <v>2103699334.95</v>
      </c>
      <c r="Q95" s="91">
        <v>277442074.85000002</v>
      </c>
      <c r="R95" s="91">
        <v>8353837667.8100004</v>
      </c>
      <c r="S95" s="90" t="s">
        <v>344</v>
      </c>
      <c r="T95" s="288"/>
      <c r="U95" s="263"/>
    </row>
    <row r="96" spans="2:21" x14ac:dyDescent="0.35">
      <c r="B96" s="234"/>
      <c r="C96" s="250" t="s">
        <v>74</v>
      </c>
      <c r="D96" s="88" t="s">
        <v>313</v>
      </c>
      <c r="E96" s="89">
        <v>62859</v>
      </c>
      <c r="F96" s="89">
        <v>349735</v>
      </c>
      <c r="G96" s="89">
        <v>461775</v>
      </c>
      <c r="H96" s="89">
        <v>1066405</v>
      </c>
      <c r="I96" s="89">
        <v>115080</v>
      </c>
      <c r="J96" s="89">
        <v>124674</v>
      </c>
      <c r="K96" s="89">
        <v>71166</v>
      </c>
      <c r="L96" s="89">
        <v>405509</v>
      </c>
      <c r="M96" s="89">
        <v>1560671</v>
      </c>
      <c r="N96" s="89">
        <v>74518</v>
      </c>
      <c r="O96" s="89">
        <v>65246</v>
      </c>
      <c r="P96" s="89">
        <v>1373782</v>
      </c>
      <c r="Q96" s="89">
        <v>244578</v>
      </c>
      <c r="R96" s="89">
        <v>5975998</v>
      </c>
      <c r="S96" s="88" t="s">
        <v>312</v>
      </c>
      <c r="T96" s="287" t="s">
        <v>90</v>
      </c>
      <c r="U96" s="263"/>
    </row>
    <row r="97" spans="2:21" x14ac:dyDescent="0.35">
      <c r="B97" s="234"/>
      <c r="C97" s="251"/>
      <c r="D97" s="90" t="s">
        <v>345</v>
      </c>
      <c r="E97" s="91">
        <v>65032990.490000002</v>
      </c>
      <c r="F97" s="91">
        <v>392119774.63</v>
      </c>
      <c r="G97" s="91">
        <v>455467475.63999999</v>
      </c>
      <c r="H97" s="91">
        <v>1181729846.01</v>
      </c>
      <c r="I97" s="91">
        <v>143856060.88999999</v>
      </c>
      <c r="J97" s="91">
        <v>154535761.47999999</v>
      </c>
      <c r="K97" s="91">
        <v>99433180.450000003</v>
      </c>
      <c r="L97" s="91">
        <v>419592684.5</v>
      </c>
      <c r="M97" s="91">
        <v>2106944020.5599999</v>
      </c>
      <c r="N97" s="91">
        <v>154402132.88</v>
      </c>
      <c r="O97" s="91">
        <v>89670392.140000001</v>
      </c>
      <c r="P97" s="91">
        <v>2207239008.25</v>
      </c>
      <c r="Q97" s="91">
        <v>323850543.66000003</v>
      </c>
      <c r="R97" s="91">
        <v>7793873871.5799999</v>
      </c>
      <c r="S97" s="90" t="s">
        <v>344</v>
      </c>
      <c r="T97" s="288"/>
      <c r="U97" s="263"/>
    </row>
    <row r="98" spans="2:21" x14ac:dyDescent="0.35">
      <c r="B98" s="234"/>
      <c r="C98" s="250" t="s">
        <v>75</v>
      </c>
      <c r="D98" s="88" t="s">
        <v>313</v>
      </c>
      <c r="E98" s="89">
        <v>329424</v>
      </c>
      <c r="F98" s="89">
        <v>524772</v>
      </c>
      <c r="G98" s="89">
        <v>1434050</v>
      </c>
      <c r="H98" s="89">
        <v>1281060</v>
      </c>
      <c r="I98" s="89">
        <v>201332</v>
      </c>
      <c r="J98" s="89">
        <v>197996</v>
      </c>
      <c r="K98" s="89">
        <v>145640</v>
      </c>
      <c r="L98" s="89">
        <v>644880</v>
      </c>
      <c r="M98" s="89">
        <v>2534633</v>
      </c>
      <c r="N98" s="89">
        <v>172250</v>
      </c>
      <c r="O98" s="89">
        <v>134234</v>
      </c>
      <c r="P98" s="89">
        <v>1680647</v>
      </c>
      <c r="Q98" s="89">
        <v>332191</v>
      </c>
      <c r="R98" s="89">
        <v>9613109</v>
      </c>
      <c r="S98" s="88" t="s">
        <v>312</v>
      </c>
      <c r="T98" s="287" t="s">
        <v>91</v>
      </c>
      <c r="U98" s="263"/>
    </row>
    <row r="99" spans="2:21" x14ac:dyDescent="0.35">
      <c r="B99" s="234"/>
      <c r="C99" s="251"/>
      <c r="D99" s="90" t="s">
        <v>345</v>
      </c>
      <c r="E99" s="91">
        <v>411093922.43000001</v>
      </c>
      <c r="F99" s="91">
        <v>480827567.81</v>
      </c>
      <c r="G99" s="91">
        <v>2121282610.3399999</v>
      </c>
      <c r="H99" s="91">
        <v>1446571894.55</v>
      </c>
      <c r="I99" s="91">
        <v>257945400.88</v>
      </c>
      <c r="J99" s="91">
        <v>278642032.83999997</v>
      </c>
      <c r="K99" s="91">
        <v>175596017.75999999</v>
      </c>
      <c r="L99" s="91">
        <v>566746242.41999996</v>
      </c>
      <c r="M99" s="91">
        <v>5822239796.1400003</v>
      </c>
      <c r="N99" s="91">
        <v>241120328.93000001</v>
      </c>
      <c r="O99" s="91">
        <v>221358685.28999999</v>
      </c>
      <c r="P99" s="91">
        <v>2344711863.5</v>
      </c>
      <c r="Q99" s="91">
        <v>570121806.76999998</v>
      </c>
      <c r="R99" s="91">
        <v>14938258169.66</v>
      </c>
      <c r="S99" s="90" t="s">
        <v>344</v>
      </c>
      <c r="T99" s="288"/>
      <c r="U99" s="263"/>
    </row>
    <row r="100" spans="2:21" x14ac:dyDescent="0.35">
      <c r="B100" s="234"/>
      <c r="C100" s="250" t="s">
        <v>76</v>
      </c>
      <c r="D100" s="88" t="s">
        <v>313</v>
      </c>
      <c r="E100" s="89">
        <v>215988</v>
      </c>
      <c r="F100" s="89">
        <v>357696</v>
      </c>
      <c r="G100" s="89">
        <v>1165092</v>
      </c>
      <c r="H100" s="89">
        <v>1129461</v>
      </c>
      <c r="I100" s="89">
        <v>177765</v>
      </c>
      <c r="J100" s="89">
        <v>124350</v>
      </c>
      <c r="K100" s="89">
        <v>96611</v>
      </c>
      <c r="L100" s="89">
        <v>582626</v>
      </c>
      <c r="M100" s="89">
        <v>2249975</v>
      </c>
      <c r="N100" s="89">
        <v>112897</v>
      </c>
      <c r="O100" s="89">
        <v>97182</v>
      </c>
      <c r="P100" s="89">
        <v>1439526</v>
      </c>
      <c r="Q100" s="89">
        <v>313693</v>
      </c>
      <c r="R100" s="89">
        <v>8062862</v>
      </c>
      <c r="S100" s="88" t="s">
        <v>312</v>
      </c>
      <c r="T100" s="287" t="s">
        <v>92</v>
      </c>
      <c r="U100" s="263"/>
    </row>
    <row r="101" spans="2:21" x14ac:dyDescent="0.35">
      <c r="B101" s="234"/>
      <c r="C101" s="251"/>
      <c r="D101" s="90" t="s">
        <v>345</v>
      </c>
      <c r="E101" s="91">
        <v>227468157.53</v>
      </c>
      <c r="F101" s="91">
        <v>331327263.93000001</v>
      </c>
      <c r="G101" s="91">
        <v>1443166301.23</v>
      </c>
      <c r="H101" s="91">
        <v>1115996454.6099999</v>
      </c>
      <c r="I101" s="91">
        <v>217782791.40000001</v>
      </c>
      <c r="J101" s="91">
        <v>116565372.98</v>
      </c>
      <c r="K101" s="91">
        <v>133662215.34</v>
      </c>
      <c r="L101" s="91">
        <v>564651717.66999996</v>
      </c>
      <c r="M101" s="91">
        <v>2625529379.9099998</v>
      </c>
      <c r="N101" s="91">
        <v>176606362.94</v>
      </c>
      <c r="O101" s="91">
        <v>155935308.00999999</v>
      </c>
      <c r="P101" s="91">
        <v>2133767023.5</v>
      </c>
      <c r="Q101" s="91">
        <v>391084679.20999998</v>
      </c>
      <c r="R101" s="91">
        <v>9633543028.2600002</v>
      </c>
      <c r="S101" s="90" t="s">
        <v>344</v>
      </c>
      <c r="T101" s="288"/>
      <c r="U101" s="263"/>
    </row>
    <row r="102" spans="2:21" x14ac:dyDescent="0.35">
      <c r="B102" s="234"/>
      <c r="C102" s="250" t="s">
        <v>77</v>
      </c>
      <c r="D102" s="88" t="s">
        <v>313</v>
      </c>
      <c r="E102" s="89">
        <v>105296</v>
      </c>
      <c r="F102" s="89">
        <v>312741</v>
      </c>
      <c r="G102" s="89">
        <v>587888</v>
      </c>
      <c r="H102" s="89">
        <v>1040103</v>
      </c>
      <c r="I102" s="89">
        <v>125359</v>
      </c>
      <c r="J102" s="89">
        <v>160517</v>
      </c>
      <c r="K102" s="89">
        <v>120055</v>
      </c>
      <c r="L102" s="89">
        <v>485752</v>
      </c>
      <c r="M102" s="89">
        <v>1785492</v>
      </c>
      <c r="N102" s="89">
        <v>89395</v>
      </c>
      <c r="O102" s="89">
        <v>108705</v>
      </c>
      <c r="P102" s="89">
        <v>1266447</v>
      </c>
      <c r="Q102" s="89">
        <v>260213</v>
      </c>
      <c r="R102" s="89">
        <v>6447963</v>
      </c>
      <c r="S102" s="88" t="s">
        <v>312</v>
      </c>
      <c r="T102" s="287" t="s">
        <v>93</v>
      </c>
      <c r="U102" s="263"/>
    </row>
    <row r="103" spans="2:21" x14ac:dyDescent="0.35">
      <c r="B103" s="234"/>
      <c r="C103" s="251"/>
      <c r="D103" s="90" t="s">
        <v>345</v>
      </c>
      <c r="E103" s="91">
        <v>79305815.439999998</v>
      </c>
      <c r="F103" s="91">
        <v>477781417.44</v>
      </c>
      <c r="G103" s="91">
        <v>677561028.91999996</v>
      </c>
      <c r="H103" s="91">
        <v>1273655679.8399999</v>
      </c>
      <c r="I103" s="91">
        <v>134385701.91999999</v>
      </c>
      <c r="J103" s="91">
        <v>133323653.72</v>
      </c>
      <c r="K103" s="91">
        <v>157283770.74000001</v>
      </c>
      <c r="L103" s="91">
        <v>536713760.76999998</v>
      </c>
      <c r="M103" s="91">
        <v>2034744935.8699999</v>
      </c>
      <c r="N103" s="91">
        <v>149546194.49000001</v>
      </c>
      <c r="O103" s="91">
        <v>248072494.91999999</v>
      </c>
      <c r="P103" s="91">
        <v>2371390256.6500001</v>
      </c>
      <c r="Q103" s="91">
        <v>429856821.51999998</v>
      </c>
      <c r="R103" s="91">
        <v>8703621532.2399998</v>
      </c>
      <c r="S103" s="90" t="s">
        <v>344</v>
      </c>
      <c r="T103" s="288"/>
      <c r="U103" s="263"/>
    </row>
    <row r="104" spans="2:21" x14ac:dyDescent="0.35">
      <c r="B104" s="234"/>
      <c r="C104" s="250" t="s">
        <v>78</v>
      </c>
      <c r="D104" s="88" t="s">
        <v>313</v>
      </c>
      <c r="E104" s="89">
        <v>57685</v>
      </c>
      <c r="F104" s="89">
        <v>612677</v>
      </c>
      <c r="G104" s="89">
        <v>377986</v>
      </c>
      <c r="H104" s="89">
        <v>1117643</v>
      </c>
      <c r="I104" s="89">
        <v>120897</v>
      </c>
      <c r="J104" s="89">
        <v>145074</v>
      </c>
      <c r="K104" s="89">
        <v>73439</v>
      </c>
      <c r="L104" s="89">
        <v>429172</v>
      </c>
      <c r="M104" s="89">
        <v>1344727</v>
      </c>
      <c r="N104" s="89">
        <v>82588</v>
      </c>
      <c r="O104" s="89">
        <v>65155</v>
      </c>
      <c r="P104" s="89">
        <v>1258578</v>
      </c>
      <c r="Q104" s="89">
        <v>221846</v>
      </c>
      <c r="R104" s="89">
        <v>5907467</v>
      </c>
      <c r="S104" s="88" t="s">
        <v>312</v>
      </c>
      <c r="T104" s="287" t="s">
        <v>94</v>
      </c>
      <c r="U104" s="263"/>
    </row>
    <row r="105" spans="2:21" x14ac:dyDescent="0.35">
      <c r="B105" s="234"/>
      <c r="C105" s="251"/>
      <c r="D105" s="90" t="s">
        <v>345</v>
      </c>
      <c r="E105" s="91">
        <v>46517383.740000002</v>
      </c>
      <c r="F105" s="91">
        <v>1067744225.16</v>
      </c>
      <c r="G105" s="91">
        <v>424387012.77999997</v>
      </c>
      <c r="H105" s="91">
        <v>1425408577.6900001</v>
      </c>
      <c r="I105" s="91">
        <v>186863911.02000001</v>
      </c>
      <c r="J105" s="91">
        <v>178431388.63999999</v>
      </c>
      <c r="K105" s="91">
        <v>98181119.430000007</v>
      </c>
      <c r="L105" s="91">
        <v>489558011.69</v>
      </c>
      <c r="M105" s="91">
        <v>1477729304.8699999</v>
      </c>
      <c r="N105" s="91">
        <v>102531223.93000001</v>
      </c>
      <c r="O105" s="91">
        <v>107937556.76000001</v>
      </c>
      <c r="P105" s="91">
        <v>2221239503.0999999</v>
      </c>
      <c r="Q105" s="91">
        <v>347464093.50999999</v>
      </c>
      <c r="R105" s="91">
        <v>8173993312.3199997</v>
      </c>
      <c r="S105" s="90" t="s">
        <v>344</v>
      </c>
      <c r="T105" s="288"/>
      <c r="U105" s="263"/>
    </row>
    <row r="106" spans="2:21" x14ac:dyDescent="0.35">
      <c r="B106" s="234"/>
      <c r="C106" s="250" t="s">
        <v>79</v>
      </c>
      <c r="D106" s="88" t="s">
        <v>313</v>
      </c>
      <c r="E106" s="89">
        <v>41396</v>
      </c>
      <c r="F106" s="89">
        <v>315987</v>
      </c>
      <c r="G106" s="89">
        <v>379769</v>
      </c>
      <c r="H106" s="89">
        <v>1045980</v>
      </c>
      <c r="I106" s="89">
        <v>134573</v>
      </c>
      <c r="J106" s="89">
        <v>169727</v>
      </c>
      <c r="K106" s="89">
        <v>73186</v>
      </c>
      <c r="L106" s="89">
        <v>460505</v>
      </c>
      <c r="M106" s="89">
        <v>1502809</v>
      </c>
      <c r="N106" s="89">
        <v>88842</v>
      </c>
      <c r="O106" s="89">
        <v>73823</v>
      </c>
      <c r="P106" s="89">
        <v>1285086</v>
      </c>
      <c r="Q106" s="89">
        <v>222082</v>
      </c>
      <c r="R106" s="89">
        <v>5793765</v>
      </c>
      <c r="S106" s="88" t="s">
        <v>312</v>
      </c>
      <c r="T106" s="287" t="s">
        <v>95</v>
      </c>
      <c r="U106" s="263"/>
    </row>
    <row r="107" spans="2:21" x14ac:dyDescent="0.35">
      <c r="B107" s="234"/>
      <c r="C107" s="251"/>
      <c r="D107" s="90" t="s">
        <v>345</v>
      </c>
      <c r="E107" s="91">
        <v>39654520.369999997</v>
      </c>
      <c r="F107" s="91">
        <v>371554621.86000001</v>
      </c>
      <c r="G107" s="91">
        <v>452974573.02999997</v>
      </c>
      <c r="H107" s="91">
        <v>1322439728.6099999</v>
      </c>
      <c r="I107" s="91">
        <v>163104205.59</v>
      </c>
      <c r="J107" s="91">
        <v>167075080.02000001</v>
      </c>
      <c r="K107" s="91">
        <v>102835830.02</v>
      </c>
      <c r="L107" s="91">
        <v>520652422.69999999</v>
      </c>
      <c r="M107" s="91">
        <v>1974969965.6199999</v>
      </c>
      <c r="N107" s="91">
        <v>114798517.58</v>
      </c>
      <c r="O107" s="91">
        <v>212516436.09</v>
      </c>
      <c r="P107" s="91">
        <v>2335338742.02</v>
      </c>
      <c r="Q107" s="91">
        <v>522520924</v>
      </c>
      <c r="R107" s="91">
        <v>8300435567.5100002</v>
      </c>
      <c r="S107" s="90" t="s">
        <v>344</v>
      </c>
      <c r="T107" s="288"/>
      <c r="U107" s="263"/>
    </row>
    <row r="108" spans="2:21" x14ac:dyDescent="0.35">
      <c r="B108" s="234"/>
      <c r="C108" s="250" t="s">
        <v>80</v>
      </c>
      <c r="D108" s="88" t="s">
        <v>313</v>
      </c>
      <c r="E108" s="89">
        <v>69330</v>
      </c>
      <c r="F108" s="89">
        <v>418472</v>
      </c>
      <c r="G108" s="89">
        <v>442456</v>
      </c>
      <c r="H108" s="89">
        <v>1304747</v>
      </c>
      <c r="I108" s="89">
        <v>205938</v>
      </c>
      <c r="J108" s="89">
        <v>481922</v>
      </c>
      <c r="K108" s="89">
        <v>102153</v>
      </c>
      <c r="L108" s="89">
        <v>667168</v>
      </c>
      <c r="M108" s="89">
        <v>2050825</v>
      </c>
      <c r="N108" s="89">
        <v>124722</v>
      </c>
      <c r="O108" s="89">
        <v>104177</v>
      </c>
      <c r="P108" s="89">
        <v>1688029</v>
      </c>
      <c r="Q108" s="89">
        <v>246787</v>
      </c>
      <c r="R108" s="89">
        <v>7906726</v>
      </c>
      <c r="S108" s="88" t="s">
        <v>312</v>
      </c>
      <c r="T108" s="287" t="s">
        <v>96</v>
      </c>
      <c r="U108" s="263"/>
    </row>
    <row r="109" spans="2:21" x14ac:dyDescent="0.35">
      <c r="B109" s="234"/>
      <c r="C109" s="251"/>
      <c r="D109" s="90" t="s">
        <v>345</v>
      </c>
      <c r="E109" s="91">
        <v>54996666.280000001</v>
      </c>
      <c r="F109" s="91">
        <v>592487388.13</v>
      </c>
      <c r="G109" s="91">
        <v>408272857.25</v>
      </c>
      <c r="H109" s="91">
        <v>1733519072.99</v>
      </c>
      <c r="I109" s="91">
        <v>289958764.27999997</v>
      </c>
      <c r="J109" s="91">
        <v>374767283.18000001</v>
      </c>
      <c r="K109" s="91">
        <v>112977875.29000001</v>
      </c>
      <c r="L109" s="91">
        <v>811084464.38</v>
      </c>
      <c r="M109" s="91">
        <v>2180373724.3699999</v>
      </c>
      <c r="N109" s="91">
        <v>195233945.06999999</v>
      </c>
      <c r="O109" s="91">
        <v>159428971.38</v>
      </c>
      <c r="P109" s="91">
        <v>2922605699.8499999</v>
      </c>
      <c r="Q109" s="91">
        <v>450222272.85000002</v>
      </c>
      <c r="R109" s="91">
        <v>10285928985.299999</v>
      </c>
      <c r="S109" s="90" t="s">
        <v>344</v>
      </c>
      <c r="T109" s="288"/>
      <c r="U109" s="263"/>
    </row>
    <row r="110" spans="2:21" x14ac:dyDescent="0.35">
      <c r="B110" s="234"/>
      <c r="C110" s="250" t="s">
        <v>81</v>
      </c>
      <c r="D110" s="88" t="s">
        <v>313</v>
      </c>
      <c r="E110" s="89">
        <v>41766</v>
      </c>
      <c r="F110" s="89">
        <v>340236</v>
      </c>
      <c r="G110" s="89">
        <v>380599</v>
      </c>
      <c r="H110" s="89">
        <v>1122245</v>
      </c>
      <c r="I110" s="89">
        <v>144914</v>
      </c>
      <c r="J110" s="89">
        <v>451363</v>
      </c>
      <c r="K110" s="89">
        <v>89575</v>
      </c>
      <c r="L110" s="89">
        <v>562445</v>
      </c>
      <c r="M110" s="89">
        <v>1775744</v>
      </c>
      <c r="N110" s="89">
        <v>91465</v>
      </c>
      <c r="O110" s="89">
        <v>78083</v>
      </c>
      <c r="P110" s="89">
        <v>1622245</v>
      </c>
      <c r="Q110" s="89">
        <v>222741</v>
      </c>
      <c r="R110" s="89">
        <v>6923421</v>
      </c>
      <c r="S110" s="88" t="s">
        <v>312</v>
      </c>
      <c r="T110" s="287" t="s">
        <v>97</v>
      </c>
      <c r="U110" s="263"/>
    </row>
    <row r="111" spans="2:21" x14ac:dyDescent="0.35">
      <c r="B111" s="235"/>
      <c r="C111" s="251"/>
      <c r="D111" s="90" t="s">
        <v>345</v>
      </c>
      <c r="E111" s="91">
        <v>26637314.91</v>
      </c>
      <c r="F111" s="91">
        <v>285320349.47000003</v>
      </c>
      <c r="G111" s="91">
        <v>334591686.88</v>
      </c>
      <c r="H111" s="91">
        <v>1347040719.75</v>
      </c>
      <c r="I111" s="91">
        <v>161648771.91999999</v>
      </c>
      <c r="J111" s="91">
        <v>348291592.80000001</v>
      </c>
      <c r="K111" s="91">
        <v>100563828.40000001</v>
      </c>
      <c r="L111" s="91">
        <v>693587673.01999998</v>
      </c>
      <c r="M111" s="91">
        <v>1900143497.9300001</v>
      </c>
      <c r="N111" s="91">
        <v>81614757.379999995</v>
      </c>
      <c r="O111" s="91">
        <v>133255532.55</v>
      </c>
      <c r="P111" s="91">
        <v>2898675835.6300001</v>
      </c>
      <c r="Q111" s="91">
        <v>499581523.06999999</v>
      </c>
      <c r="R111" s="91">
        <v>8810953083.7099991</v>
      </c>
      <c r="S111" s="90" t="s">
        <v>344</v>
      </c>
      <c r="T111" s="288"/>
      <c r="U111" s="264"/>
    </row>
    <row r="112" spans="2:21" x14ac:dyDescent="0.35">
      <c r="B112" s="254" t="s">
        <v>82</v>
      </c>
      <c r="C112" s="255"/>
      <c r="D112" s="92" t="s">
        <v>313</v>
      </c>
      <c r="E112" s="93">
        <v>1126723</v>
      </c>
      <c r="F112" s="93">
        <v>4872445</v>
      </c>
      <c r="G112" s="93">
        <v>7333549</v>
      </c>
      <c r="H112" s="93">
        <v>13644380</v>
      </c>
      <c r="I112" s="93">
        <v>1840798</v>
      </c>
      <c r="J112" s="93">
        <v>2936373</v>
      </c>
      <c r="K112" s="93">
        <v>1159397</v>
      </c>
      <c r="L112" s="93">
        <v>6720888</v>
      </c>
      <c r="M112" s="93">
        <v>23487120</v>
      </c>
      <c r="N112" s="93">
        <v>1259012</v>
      </c>
      <c r="O112" s="93">
        <v>1089552</v>
      </c>
      <c r="P112" s="93">
        <v>17596758</v>
      </c>
      <c r="Q112" s="93">
        <v>3090364</v>
      </c>
      <c r="R112" s="93">
        <v>86157359</v>
      </c>
      <c r="S112" s="92" t="s">
        <v>312</v>
      </c>
      <c r="T112" s="258" t="s">
        <v>98</v>
      </c>
      <c r="U112" s="259"/>
    </row>
    <row r="113" spans="2:21" x14ac:dyDescent="0.35">
      <c r="B113" s="256"/>
      <c r="C113" s="257"/>
      <c r="D113" s="94" t="s">
        <v>345</v>
      </c>
      <c r="E113" s="95">
        <v>1122964918.3900001</v>
      </c>
      <c r="F113" s="95">
        <v>5689944556.5</v>
      </c>
      <c r="G113" s="95">
        <v>8598518662.6000004</v>
      </c>
      <c r="H113" s="95">
        <v>16421823424.030001</v>
      </c>
      <c r="I113" s="95">
        <v>2550049357.0500002</v>
      </c>
      <c r="J113" s="95">
        <v>2858261001.2399998</v>
      </c>
      <c r="K113" s="95">
        <v>1571207969.21</v>
      </c>
      <c r="L113" s="95">
        <v>7474643865.5</v>
      </c>
      <c r="M113" s="95">
        <v>30656786192.029999</v>
      </c>
      <c r="N113" s="95">
        <v>2115480240.76</v>
      </c>
      <c r="O113" s="95">
        <v>1843303879.1199999</v>
      </c>
      <c r="P113" s="95">
        <v>29493025315.830002</v>
      </c>
      <c r="Q113" s="95">
        <v>4879766638.46</v>
      </c>
      <c r="R113" s="95">
        <v>115275776020.72</v>
      </c>
      <c r="S113" s="94" t="s">
        <v>344</v>
      </c>
      <c r="T113" s="260"/>
      <c r="U113" s="261"/>
    </row>
    <row r="114" spans="2:21" x14ac:dyDescent="0.35">
      <c r="B114" s="233">
        <v>2025</v>
      </c>
      <c r="C114" s="250" t="s">
        <v>70</v>
      </c>
      <c r="D114" s="88" t="s">
        <v>313</v>
      </c>
      <c r="E114" s="89">
        <v>70196</v>
      </c>
      <c r="F114" s="89">
        <v>327293</v>
      </c>
      <c r="G114" s="89">
        <v>456972</v>
      </c>
      <c r="H114" s="89">
        <v>1197357</v>
      </c>
      <c r="I114" s="89">
        <v>206775</v>
      </c>
      <c r="J114" s="89">
        <v>498127</v>
      </c>
      <c r="K114" s="89">
        <v>136497</v>
      </c>
      <c r="L114" s="89">
        <v>610730</v>
      </c>
      <c r="M114" s="89">
        <v>2361750</v>
      </c>
      <c r="N114" s="89">
        <v>104269</v>
      </c>
      <c r="O114" s="89">
        <v>105548</v>
      </c>
      <c r="P114" s="89">
        <v>2093880</v>
      </c>
      <c r="Q114" s="89">
        <v>207421</v>
      </c>
      <c r="R114" s="89">
        <v>8376815</v>
      </c>
      <c r="S114" s="88" t="s">
        <v>312</v>
      </c>
      <c r="T114" s="287" t="s">
        <v>86</v>
      </c>
      <c r="U114" s="262">
        <v>2025</v>
      </c>
    </row>
    <row r="115" spans="2:21" x14ac:dyDescent="0.35">
      <c r="B115" s="234"/>
      <c r="C115" s="251"/>
      <c r="D115" s="90" t="s">
        <v>345</v>
      </c>
      <c r="E115" s="91">
        <v>49907850.799999997</v>
      </c>
      <c r="F115" s="91">
        <v>282605799.63</v>
      </c>
      <c r="G115" s="91">
        <v>314875282.79000002</v>
      </c>
      <c r="H115" s="91">
        <v>1395275389.3299999</v>
      </c>
      <c r="I115" s="91">
        <v>217799040.19</v>
      </c>
      <c r="J115" s="91">
        <v>324274693.75</v>
      </c>
      <c r="K115" s="91">
        <v>122551514.47</v>
      </c>
      <c r="L115" s="91">
        <v>734830389.55999994</v>
      </c>
      <c r="M115" s="91">
        <v>2763339783.04</v>
      </c>
      <c r="N115" s="91">
        <v>117517688.42</v>
      </c>
      <c r="O115" s="91">
        <v>153532487.72999999</v>
      </c>
      <c r="P115" s="91">
        <v>3716686584.9200001</v>
      </c>
      <c r="Q115" s="91">
        <v>401266412.44</v>
      </c>
      <c r="R115" s="91">
        <v>10594462917.07</v>
      </c>
      <c r="S115" s="90" t="s">
        <v>344</v>
      </c>
      <c r="T115" s="288"/>
      <c r="U115" s="263"/>
    </row>
    <row r="116" spans="2:21" x14ac:dyDescent="0.35">
      <c r="B116" s="234"/>
      <c r="C116" s="250" t="s">
        <v>71</v>
      </c>
      <c r="D116" s="88" t="s">
        <v>313</v>
      </c>
      <c r="E116" s="89">
        <v>60186</v>
      </c>
      <c r="F116" s="89">
        <v>283968</v>
      </c>
      <c r="G116" s="89">
        <v>393042</v>
      </c>
      <c r="H116" s="89">
        <v>1057967</v>
      </c>
      <c r="I116" s="89">
        <v>177622</v>
      </c>
      <c r="J116" s="89">
        <v>358979</v>
      </c>
      <c r="K116" s="89">
        <v>126869</v>
      </c>
      <c r="L116" s="89">
        <v>503356</v>
      </c>
      <c r="M116" s="89">
        <v>1996085</v>
      </c>
      <c r="N116" s="89">
        <v>102806</v>
      </c>
      <c r="O116" s="89">
        <v>92562</v>
      </c>
      <c r="P116" s="89">
        <v>1837654</v>
      </c>
      <c r="Q116" s="89">
        <v>195504</v>
      </c>
      <c r="R116" s="89">
        <v>7186600</v>
      </c>
      <c r="S116" s="88" t="s">
        <v>312</v>
      </c>
      <c r="T116" s="287" t="s">
        <v>87</v>
      </c>
      <c r="U116" s="263"/>
    </row>
    <row r="117" spans="2:21" x14ac:dyDescent="0.35">
      <c r="B117" s="234"/>
      <c r="C117" s="251"/>
      <c r="D117" s="90" t="s">
        <v>345</v>
      </c>
      <c r="E117" s="91">
        <v>36848202.090000004</v>
      </c>
      <c r="F117" s="91">
        <v>313180816.5</v>
      </c>
      <c r="G117" s="91">
        <v>283059992.57999998</v>
      </c>
      <c r="H117" s="91">
        <v>982589147.25999999</v>
      </c>
      <c r="I117" s="91">
        <v>194441689.58000001</v>
      </c>
      <c r="J117" s="91">
        <v>213731849.63</v>
      </c>
      <c r="K117" s="91">
        <v>138961057.03999999</v>
      </c>
      <c r="L117" s="91">
        <v>699806711.12</v>
      </c>
      <c r="M117" s="91">
        <v>2372961956.6900001</v>
      </c>
      <c r="N117" s="91">
        <v>57177276.159999996</v>
      </c>
      <c r="O117" s="91">
        <v>86482424.609999999</v>
      </c>
      <c r="P117" s="91">
        <v>2677622305.0599999</v>
      </c>
      <c r="Q117" s="91">
        <v>310274077.27999997</v>
      </c>
      <c r="R117" s="91">
        <v>8367137505.6000004</v>
      </c>
      <c r="S117" s="90" t="s">
        <v>344</v>
      </c>
      <c r="T117" s="288"/>
      <c r="U117" s="263"/>
    </row>
    <row r="118" spans="2:21" x14ac:dyDescent="0.35">
      <c r="B118" s="234"/>
      <c r="C118" s="250" t="s">
        <v>72</v>
      </c>
      <c r="D118" s="88" t="s">
        <v>313</v>
      </c>
      <c r="E118" s="89">
        <v>83067</v>
      </c>
      <c r="F118" s="89">
        <v>294368</v>
      </c>
      <c r="G118" s="89">
        <v>444653</v>
      </c>
      <c r="H118" s="89">
        <v>862490</v>
      </c>
      <c r="I118" s="89">
        <v>182137</v>
      </c>
      <c r="J118" s="89">
        <v>326924</v>
      </c>
      <c r="K118" s="89">
        <v>116578</v>
      </c>
      <c r="L118" s="89">
        <v>643300</v>
      </c>
      <c r="M118" s="89">
        <v>4444360</v>
      </c>
      <c r="N118" s="89">
        <v>117878</v>
      </c>
      <c r="O118" s="89">
        <v>88216</v>
      </c>
      <c r="P118" s="89">
        <v>1501038</v>
      </c>
      <c r="Q118" s="89">
        <v>186356</v>
      </c>
      <c r="R118" s="89">
        <v>9291365</v>
      </c>
      <c r="S118" s="88" t="s">
        <v>312</v>
      </c>
      <c r="T118" s="287" t="s">
        <v>88</v>
      </c>
      <c r="U118" s="263"/>
    </row>
    <row r="119" spans="2:21" x14ac:dyDescent="0.35">
      <c r="B119" s="234"/>
      <c r="C119" s="251"/>
      <c r="D119" s="90" t="s">
        <v>345</v>
      </c>
      <c r="E119" s="91">
        <v>67343774.829999998</v>
      </c>
      <c r="F119" s="91">
        <v>200023285.84</v>
      </c>
      <c r="G119" s="91">
        <v>332828243.74000001</v>
      </c>
      <c r="H119" s="91">
        <v>1563531992.23</v>
      </c>
      <c r="I119" s="91">
        <v>196691765.86000001</v>
      </c>
      <c r="J119" s="91">
        <v>241171661.25</v>
      </c>
      <c r="K119" s="91">
        <v>111933729.58</v>
      </c>
      <c r="L119" s="91">
        <v>853739040.71000004</v>
      </c>
      <c r="M119" s="91">
        <v>6419908924.9499998</v>
      </c>
      <c r="N119" s="91">
        <v>308796871.44999999</v>
      </c>
      <c r="O119" s="91">
        <v>109776554.68000001</v>
      </c>
      <c r="P119" s="91">
        <v>2640176237.9899998</v>
      </c>
      <c r="Q119" s="91">
        <v>265938661.47999999</v>
      </c>
      <c r="R119" s="91">
        <v>13311860744.59</v>
      </c>
      <c r="S119" s="90" t="s">
        <v>344</v>
      </c>
      <c r="T119" s="288"/>
      <c r="U119" s="263"/>
    </row>
    <row r="120" spans="2:21" x14ac:dyDescent="0.35">
      <c r="B120" s="234"/>
      <c r="C120" s="250" t="s">
        <v>73</v>
      </c>
      <c r="D120" s="88" t="s">
        <v>313</v>
      </c>
      <c r="E120" s="89">
        <v>63432</v>
      </c>
      <c r="F120" s="89">
        <v>211044</v>
      </c>
      <c r="G120" s="89">
        <v>383354</v>
      </c>
      <c r="H120" s="89">
        <v>1016642</v>
      </c>
      <c r="I120" s="89">
        <v>152974</v>
      </c>
      <c r="J120" s="89">
        <v>278079</v>
      </c>
      <c r="K120" s="89">
        <v>120583</v>
      </c>
      <c r="L120" s="89">
        <v>457673</v>
      </c>
      <c r="M120" s="89">
        <v>1868756</v>
      </c>
      <c r="N120" s="89">
        <v>99009</v>
      </c>
      <c r="O120" s="89">
        <v>80330</v>
      </c>
      <c r="P120" s="89">
        <v>1633037</v>
      </c>
      <c r="Q120" s="89">
        <v>200828</v>
      </c>
      <c r="R120" s="89">
        <v>6565741</v>
      </c>
      <c r="S120" s="88" t="s">
        <v>312</v>
      </c>
      <c r="T120" s="287" t="s">
        <v>89</v>
      </c>
      <c r="U120" s="263"/>
    </row>
    <row r="121" spans="2:21" x14ac:dyDescent="0.35">
      <c r="B121" s="234"/>
      <c r="C121" s="251"/>
      <c r="D121" s="90" t="s">
        <v>345</v>
      </c>
      <c r="E121" s="91">
        <v>66845504.310000002</v>
      </c>
      <c r="F121" s="91">
        <v>172520593.18000001</v>
      </c>
      <c r="G121" s="91">
        <v>324485699.94</v>
      </c>
      <c r="H121" s="91">
        <v>1137219779.3</v>
      </c>
      <c r="I121" s="91">
        <v>164518101.22</v>
      </c>
      <c r="J121" s="91">
        <v>159850152.97</v>
      </c>
      <c r="K121" s="91">
        <v>110360571.51000001</v>
      </c>
      <c r="L121" s="91">
        <v>634750882.39999998</v>
      </c>
      <c r="M121" s="91">
        <v>2301423670.6500001</v>
      </c>
      <c r="N121" s="91">
        <v>112256501.02</v>
      </c>
      <c r="O121" s="91">
        <v>70379244.799999997</v>
      </c>
      <c r="P121" s="91">
        <v>2983634951.79</v>
      </c>
      <c r="Q121" s="91">
        <v>360949111.41000003</v>
      </c>
      <c r="R121" s="91">
        <v>8599194764.5</v>
      </c>
      <c r="S121" s="90" t="s">
        <v>344</v>
      </c>
      <c r="T121" s="288"/>
      <c r="U121" s="263"/>
    </row>
    <row r="122" spans="2:21" x14ac:dyDescent="0.35">
      <c r="B122" s="234"/>
      <c r="C122" s="250" t="s">
        <v>74</v>
      </c>
      <c r="D122" s="88" t="s">
        <v>313</v>
      </c>
      <c r="E122" s="89">
        <v>86590</v>
      </c>
      <c r="F122" s="89">
        <v>262416</v>
      </c>
      <c r="G122" s="89">
        <v>512001</v>
      </c>
      <c r="H122" s="89">
        <v>1137216</v>
      </c>
      <c r="I122" s="89">
        <v>183163</v>
      </c>
      <c r="J122" s="89">
        <v>297634</v>
      </c>
      <c r="K122" s="89">
        <v>136859</v>
      </c>
      <c r="L122" s="89">
        <v>442496</v>
      </c>
      <c r="M122" s="89">
        <v>2016031</v>
      </c>
      <c r="N122" s="89">
        <v>105975</v>
      </c>
      <c r="O122" s="89">
        <v>88551</v>
      </c>
      <c r="P122" s="89">
        <v>1820766</v>
      </c>
      <c r="Q122" s="89">
        <v>243636</v>
      </c>
      <c r="R122" s="89">
        <v>7333334</v>
      </c>
      <c r="S122" s="88" t="s">
        <v>312</v>
      </c>
      <c r="T122" s="287" t="s">
        <v>90</v>
      </c>
      <c r="U122" s="263"/>
    </row>
    <row r="123" spans="2:21" x14ac:dyDescent="0.35">
      <c r="B123" s="234"/>
      <c r="C123" s="251"/>
      <c r="D123" s="90" t="s">
        <v>345</v>
      </c>
      <c r="E123" s="91">
        <v>71761076.019999996</v>
      </c>
      <c r="F123" s="91">
        <v>223041274.28</v>
      </c>
      <c r="G123" s="91">
        <v>412603434.68000001</v>
      </c>
      <c r="H123" s="91">
        <v>1297971155.3399999</v>
      </c>
      <c r="I123" s="91">
        <v>210052320.27000001</v>
      </c>
      <c r="J123" s="91">
        <v>492581632.73000002</v>
      </c>
      <c r="K123" s="91">
        <v>139411111.13999999</v>
      </c>
      <c r="L123" s="91">
        <v>638599376.17999995</v>
      </c>
      <c r="M123" s="91">
        <v>3509224157.9099998</v>
      </c>
      <c r="N123" s="91">
        <v>139429368.66</v>
      </c>
      <c r="O123" s="91">
        <v>247776545.75</v>
      </c>
      <c r="P123" s="91">
        <v>3724233434.8699999</v>
      </c>
      <c r="Q123" s="91">
        <v>391693418.66000003</v>
      </c>
      <c r="R123" s="91">
        <v>11498378306.49</v>
      </c>
      <c r="S123" s="90" t="s">
        <v>344</v>
      </c>
      <c r="T123" s="288"/>
      <c r="U123" s="263"/>
    </row>
    <row r="124" spans="2:21" x14ac:dyDescent="0.35">
      <c r="B124" s="234"/>
      <c r="C124" s="250" t="s">
        <v>75</v>
      </c>
      <c r="D124" s="88" t="s">
        <v>313</v>
      </c>
      <c r="E124" s="89">
        <v>133892</v>
      </c>
      <c r="F124" s="89">
        <v>291305</v>
      </c>
      <c r="G124" s="89">
        <v>569058</v>
      </c>
      <c r="H124" s="89">
        <v>1119250</v>
      </c>
      <c r="I124" s="89">
        <v>202471</v>
      </c>
      <c r="J124" s="89">
        <v>332109</v>
      </c>
      <c r="K124" s="89">
        <v>139036</v>
      </c>
      <c r="L124" s="89">
        <v>545663</v>
      </c>
      <c r="M124" s="89">
        <v>2209298</v>
      </c>
      <c r="N124" s="89">
        <v>129346</v>
      </c>
      <c r="O124" s="89">
        <v>92178</v>
      </c>
      <c r="P124" s="89">
        <v>1778848</v>
      </c>
      <c r="Q124" s="89">
        <v>244446</v>
      </c>
      <c r="R124" s="89">
        <v>7786900</v>
      </c>
      <c r="S124" s="88" t="s">
        <v>312</v>
      </c>
      <c r="T124" s="287" t="s">
        <v>91</v>
      </c>
      <c r="U124" s="263"/>
    </row>
    <row r="125" spans="2:21" x14ac:dyDescent="0.35">
      <c r="B125" s="234"/>
      <c r="C125" s="251"/>
      <c r="D125" s="90" t="s">
        <v>345</v>
      </c>
      <c r="E125" s="91">
        <v>145928496.38999999</v>
      </c>
      <c r="F125" s="91">
        <v>248717757.38999999</v>
      </c>
      <c r="G125" s="91">
        <v>804900031.21000004</v>
      </c>
      <c r="H125" s="91">
        <v>1489562642.04</v>
      </c>
      <c r="I125" s="91">
        <v>297577750.04000002</v>
      </c>
      <c r="J125" s="91">
        <v>341090107.07999998</v>
      </c>
      <c r="K125" s="91">
        <v>227266709.16999999</v>
      </c>
      <c r="L125" s="91">
        <v>999300949.40999997</v>
      </c>
      <c r="M125" s="91">
        <v>5536403626.1899996</v>
      </c>
      <c r="N125" s="91">
        <v>141423197.61000001</v>
      </c>
      <c r="O125" s="91">
        <v>213431478.52000001</v>
      </c>
      <c r="P125" s="91">
        <v>3712344009.1599998</v>
      </c>
      <c r="Q125" s="91">
        <v>474230486.70999998</v>
      </c>
      <c r="R125" s="91">
        <v>14632177240.92</v>
      </c>
      <c r="S125" s="90" t="s">
        <v>344</v>
      </c>
      <c r="T125" s="288"/>
      <c r="U125" s="263"/>
    </row>
    <row r="126" spans="2:21" x14ac:dyDescent="0.35">
      <c r="B126" s="234"/>
      <c r="C126" s="250" t="s">
        <v>76</v>
      </c>
      <c r="D126" s="88" t="s">
        <v>313</v>
      </c>
      <c r="E126" s="89">
        <v>198462</v>
      </c>
      <c r="F126" s="89">
        <v>284616</v>
      </c>
      <c r="G126" s="89">
        <v>756463</v>
      </c>
      <c r="H126" s="89">
        <v>1071904</v>
      </c>
      <c r="I126" s="89">
        <v>219388</v>
      </c>
      <c r="J126" s="89">
        <v>362274</v>
      </c>
      <c r="K126" s="89">
        <v>164373</v>
      </c>
      <c r="L126" s="89">
        <v>612694</v>
      </c>
      <c r="M126" s="89">
        <v>2653274</v>
      </c>
      <c r="N126" s="89">
        <v>119923</v>
      </c>
      <c r="O126" s="89">
        <v>93300</v>
      </c>
      <c r="P126" s="89">
        <v>1873162</v>
      </c>
      <c r="Q126" s="89">
        <v>283688</v>
      </c>
      <c r="R126" s="89">
        <v>8693521</v>
      </c>
      <c r="S126" s="88" t="s">
        <v>312</v>
      </c>
      <c r="T126" s="287" t="s">
        <v>92</v>
      </c>
      <c r="U126" s="263"/>
    </row>
    <row r="127" spans="2:21" x14ac:dyDescent="0.35">
      <c r="B127" s="234"/>
      <c r="C127" s="251"/>
      <c r="D127" s="90" t="s">
        <v>345</v>
      </c>
      <c r="E127" s="91">
        <v>164029938.96000001</v>
      </c>
      <c r="F127" s="91">
        <v>456146942.20999998</v>
      </c>
      <c r="G127" s="91">
        <v>1027100512.58</v>
      </c>
      <c r="H127" s="91">
        <v>1431548528.0799999</v>
      </c>
      <c r="I127" s="91">
        <v>329384055.95999998</v>
      </c>
      <c r="J127" s="91">
        <v>308371271.66000003</v>
      </c>
      <c r="K127" s="91">
        <v>246055205.24000001</v>
      </c>
      <c r="L127" s="91">
        <v>1076340926.4200001</v>
      </c>
      <c r="M127" s="91">
        <v>4277821709.8299999</v>
      </c>
      <c r="N127" s="91">
        <v>174592100.40000001</v>
      </c>
      <c r="O127" s="91">
        <v>167029815.86000001</v>
      </c>
      <c r="P127" s="91">
        <v>5172019769.8599997</v>
      </c>
      <c r="Q127" s="91">
        <v>589319598.88</v>
      </c>
      <c r="R127" s="91">
        <v>15419760375.940001</v>
      </c>
      <c r="S127" s="90" t="s">
        <v>344</v>
      </c>
      <c r="T127" s="288"/>
      <c r="U127" s="263"/>
    </row>
    <row r="128" spans="2:21" x14ac:dyDescent="0.35">
      <c r="B128" s="234"/>
      <c r="C128" s="250" t="s">
        <v>77</v>
      </c>
      <c r="D128" s="88" t="s">
        <v>313</v>
      </c>
      <c r="E128" s="89">
        <v>185107</v>
      </c>
      <c r="F128" s="89">
        <v>269447</v>
      </c>
      <c r="G128" s="89">
        <v>725105</v>
      </c>
      <c r="H128" s="89">
        <v>1014647</v>
      </c>
      <c r="I128" s="89">
        <v>190862</v>
      </c>
      <c r="J128" s="89">
        <v>335354</v>
      </c>
      <c r="K128" s="89">
        <v>147334</v>
      </c>
      <c r="L128" s="89">
        <v>548881</v>
      </c>
      <c r="M128" s="89">
        <v>2567786</v>
      </c>
      <c r="N128" s="89">
        <v>107221</v>
      </c>
      <c r="O128" s="89">
        <v>88194</v>
      </c>
      <c r="P128" s="89">
        <v>1756838</v>
      </c>
      <c r="Q128" s="89">
        <v>248139</v>
      </c>
      <c r="R128" s="89">
        <v>8184915</v>
      </c>
      <c r="S128" s="88" t="s">
        <v>312</v>
      </c>
      <c r="T128" s="287" t="s">
        <v>93</v>
      </c>
      <c r="U128" s="263"/>
    </row>
    <row r="129" spans="2:21" x14ac:dyDescent="0.35">
      <c r="B129" s="234"/>
      <c r="C129" s="251"/>
      <c r="D129" s="90" t="s">
        <v>345</v>
      </c>
      <c r="E129" s="91">
        <v>112593383.06</v>
      </c>
      <c r="F129" s="91">
        <v>225791146.00999999</v>
      </c>
      <c r="G129" s="91">
        <v>539102699.01999998</v>
      </c>
      <c r="H129" s="91">
        <v>1093231622.76</v>
      </c>
      <c r="I129" s="91">
        <v>246326958.84999999</v>
      </c>
      <c r="J129" s="91">
        <v>212336781.05000001</v>
      </c>
      <c r="K129" s="91">
        <v>177194010.78</v>
      </c>
      <c r="L129" s="91">
        <v>747748229.49000001</v>
      </c>
      <c r="M129" s="91">
        <v>2902853195.0700002</v>
      </c>
      <c r="N129" s="91">
        <v>181204209.25</v>
      </c>
      <c r="O129" s="91">
        <v>94379178.599999994</v>
      </c>
      <c r="P129" s="91">
        <v>3407374380.21</v>
      </c>
      <c r="Q129" s="91">
        <v>325808841.25999999</v>
      </c>
      <c r="R129" s="91">
        <v>10265944635.41</v>
      </c>
      <c r="S129" s="90" t="s">
        <v>344</v>
      </c>
      <c r="T129" s="288"/>
      <c r="U129" s="263"/>
    </row>
    <row r="130" spans="2:21" x14ac:dyDescent="0.35">
      <c r="B130" s="234"/>
      <c r="C130" s="250" t="s">
        <v>78</v>
      </c>
      <c r="D130" s="88" t="s">
        <v>313</v>
      </c>
      <c r="E130" s="89">
        <v>61101</v>
      </c>
      <c r="F130" s="89">
        <v>228215</v>
      </c>
      <c r="G130" s="89">
        <v>394022</v>
      </c>
      <c r="H130" s="89">
        <v>950359</v>
      </c>
      <c r="I130" s="89">
        <v>155398</v>
      </c>
      <c r="J130" s="89">
        <v>257650</v>
      </c>
      <c r="K130" s="89">
        <v>116180</v>
      </c>
      <c r="L130" s="89">
        <v>452556</v>
      </c>
      <c r="M130" s="89">
        <v>1888053</v>
      </c>
      <c r="N130" s="89">
        <v>96048</v>
      </c>
      <c r="O130" s="89">
        <v>83124</v>
      </c>
      <c r="P130" s="89">
        <v>1638982</v>
      </c>
      <c r="Q130" s="89">
        <v>191248</v>
      </c>
      <c r="R130" s="89">
        <v>6512936</v>
      </c>
      <c r="S130" s="88" t="s">
        <v>312</v>
      </c>
      <c r="T130" s="287" t="s">
        <v>94</v>
      </c>
      <c r="U130" s="263"/>
    </row>
    <row r="131" spans="2:21" x14ac:dyDescent="0.35">
      <c r="B131" s="234"/>
      <c r="C131" s="251"/>
      <c r="D131" s="90" t="s">
        <v>345</v>
      </c>
      <c r="E131" s="91">
        <v>49239518.57</v>
      </c>
      <c r="F131" s="91">
        <v>133945717.41</v>
      </c>
      <c r="G131" s="91">
        <v>309435080.79000002</v>
      </c>
      <c r="H131" s="91">
        <v>1026241879.66</v>
      </c>
      <c r="I131" s="91">
        <v>128602004.55</v>
      </c>
      <c r="J131" s="91">
        <v>211754525.88999999</v>
      </c>
      <c r="K131" s="91">
        <v>127001013.31</v>
      </c>
      <c r="L131" s="91">
        <v>556522780.16999996</v>
      </c>
      <c r="M131" s="91">
        <v>2216504597.5799999</v>
      </c>
      <c r="N131" s="91">
        <v>176213313.16</v>
      </c>
      <c r="O131" s="91">
        <v>131939370.37</v>
      </c>
      <c r="P131" s="91">
        <v>2867955450.0100002</v>
      </c>
      <c r="Q131" s="91">
        <v>288933735.02999997</v>
      </c>
      <c r="R131" s="91">
        <v>8224288986.5</v>
      </c>
      <c r="S131" s="90" t="s">
        <v>344</v>
      </c>
      <c r="T131" s="288"/>
      <c r="U131" s="263"/>
    </row>
    <row r="132" spans="2:21" x14ac:dyDescent="0.35">
      <c r="B132" s="234"/>
      <c r="C132" s="250" t="s">
        <v>79</v>
      </c>
      <c r="D132" s="88" t="s">
        <v>313</v>
      </c>
      <c r="E132" s="89">
        <v>62321</v>
      </c>
      <c r="F132" s="89">
        <v>256144</v>
      </c>
      <c r="G132" s="89">
        <v>418487</v>
      </c>
      <c r="H132" s="89">
        <v>1122155</v>
      </c>
      <c r="I132" s="89">
        <v>173537</v>
      </c>
      <c r="J132" s="89">
        <v>322246</v>
      </c>
      <c r="K132" s="89">
        <v>128552</v>
      </c>
      <c r="L132" s="89">
        <v>524729</v>
      </c>
      <c r="M132" s="89">
        <v>2094652</v>
      </c>
      <c r="N132" s="89">
        <v>102925</v>
      </c>
      <c r="O132" s="89">
        <v>88249</v>
      </c>
      <c r="P132" s="89">
        <v>1864583</v>
      </c>
      <c r="Q132" s="89">
        <v>202785</v>
      </c>
      <c r="R132" s="89">
        <v>7361365</v>
      </c>
      <c r="S132" s="88" t="s">
        <v>312</v>
      </c>
      <c r="T132" s="287" t="s">
        <v>95</v>
      </c>
      <c r="U132" s="263"/>
    </row>
    <row r="133" spans="2:21" x14ac:dyDescent="0.35">
      <c r="B133" s="234"/>
      <c r="C133" s="251"/>
      <c r="D133" s="90" t="s">
        <v>345</v>
      </c>
      <c r="E133" s="91">
        <v>65778333.049999997</v>
      </c>
      <c r="F133" s="91">
        <v>259724118.94</v>
      </c>
      <c r="G133" s="91">
        <v>289599234.27999997</v>
      </c>
      <c r="H133" s="91">
        <v>1018395542.86</v>
      </c>
      <c r="I133" s="91">
        <v>183859308.44</v>
      </c>
      <c r="J133" s="91">
        <v>240825026.49000001</v>
      </c>
      <c r="K133" s="91">
        <v>213498479.03</v>
      </c>
      <c r="L133" s="91">
        <v>661329891.66999996</v>
      </c>
      <c r="M133" s="91">
        <v>2216527569.3899999</v>
      </c>
      <c r="N133" s="91">
        <v>131070436.88</v>
      </c>
      <c r="O133" s="91">
        <v>166695811.56999999</v>
      </c>
      <c r="P133" s="91">
        <v>2960547713.23</v>
      </c>
      <c r="Q133" s="91">
        <v>260065661.84</v>
      </c>
      <c r="R133" s="91">
        <v>8667917127.6700001</v>
      </c>
      <c r="S133" s="90" t="s">
        <v>344</v>
      </c>
      <c r="T133" s="288"/>
      <c r="U133" s="263"/>
    </row>
    <row r="134" spans="2:21" x14ac:dyDescent="0.35">
      <c r="B134" s="234"/>
      <c r="C134" s="250" t="s">
        <v>80</v>
      </c>
      <c r="D134" s="88" t="s">
        <v>313</v>
      </c>
      <c r="E134" s="89">
        <v>78099</v>
      </c>
      <c r="F134" s="89">
        <v>323971</v>
      </c>
      <c r="G134" s="89">
        <v>456968</v>
      </c>
      <c r="H134" s="89">
        <v>1293869</v>
      </c>
      <c r="I134" s="89">
        <v>240143</v>
      </c>
      <c r="J134" s="89">
        <v>472646</v>
      </c>
      <c r="K134" s="89">
        <v>145841</v>
      </c>
      <c r="L134" s="89">
        <v>635949</v>
      </c>
      <c r="M134" s="89">
        <v>2457304</v>
      </c>
      <c r="N134" s="89">
        <v>106629</v>
      </c>
      <c r="O134" s="89">
        <v>100017</v>
      </c>
      <c r="P134" s="89">
        <v>2104802</v>
      </c>
      <c r="Q134" s="89">
        <v>219557</v>
      </c>
      <c r="R134" s="89">
        <v>8635795</v>
      </c>
      <c r="S134" s="88" t="s">
        <v>312</v>
      </c>
      <c r="T134" s="287" t="s">
        <v>96</v>
      </c>
      <c r="U134" s="263"/>
    </row>
    <row r="135" spans="2:21" x14ac:dyDescent="0.35">
      <c r="B135" s="234"/>
      <c r="C135" s="251"/>
      <c r="D135" s="90" t="s">
        <v>345</v>
      </c>
      <c r="E135" s="91">
        <v>43472171.229999997</v>
      </c>
      <c r="F135" s="91">
        <v>362912019.38999999</v>
      </c>
      <c r="G135" s="91">
        <v>327877013.51999998</v>
      </c>
      <c r="H135" s="91">
        <v>1078477209.27</v>
      </c>
      <c r="I135" s="91">
        <v>240256417.44999999</v>
      </c>
      <c r="J135" s="91">
        <v>315725366.94</v>
      </c>
      <c r="K135" s="91">
        <v>252761810.25</v>
      </c>
      <c r="L135" s="91">
        <v>778948867.66999996</v>
      </c>
      <c r="M135" s="91">
        <v>2243777697.9099998</v>
      </c>
      <c r="N135" s="91">
        <v>115847901.8</v>
      </c>
      <c r="O135" s="91">
        <v>111011929.27</v>
      </c>
      <c r="P135" s="91">
        <v>3236886946.6700001</v>
      </c>
      <c r="Q135" s="91">
        <v>315336363.67000002</v>
      </c>
      <c r="R135" s="91">
        <v>9423291715.0400009</v>
      </c>
      <c r="S135" s="90" t="s">
        <v>344</v>
      </c>
      <c r="T135" s="288"/>
      <c r="U135" s="263"/>
    </row>
    <row r="136" spans="2:21" x14ac:dyDescent="0.35">
      <c r="B136" s="234"/>
      <c r="C136" s="250" t="s">
        <v>81</v>
      </c>
      <c r="D136" s="88" t="s">
        <v>313</v>
      </c>
      <c r="E136" s="89">
        <v>50369</v>
      </c>
      <c r="F136" s="89">
        <v>248867</v>
      </c>
      <c r="G136" s="89">
        <v>396441</v>
      </c>
      <c r="H136" s="89">
        <v>1121453</v>
      </c>
      <c r="I136" s="89">
        <v>185406</v>
      </c>
      <c r="J136" s="89">
        <v>432377</v>
      </c>
      <c r="K136" s="89">
        <v>124131</v>
      </c>
      <c r="L136" s="89">
        <v>522928</v>
      </c>
      <c r="M136" s="89">
        <v>2078907</v>
      </c>
      <c r="N136" s="89">
        <v>99717</v>
      </c>
      <c r="O136" s="89">
        <v>83449</v>
      </c>
      <c r="P136" s="89">
        <v>1862708</v>
      </c>
      <c r="Q136" s="89">
        <v>187473</v>
      </c>
      <c r="R136" s="89">
        <v>7394226</v>
      </c>
      <c r="S136" s="88" t="s">
        <v>312</v>
      </c>
      <c r="T136" s="287" t="s">
        <v>97</v>
      </c>
      <c r="U136" s="263"/>
    </row>
    <row r="137" spans="2:21" x14ac:dyDescent="0.35">
      <c r="B137" s="235"/>
      <c r="C137" s="251"/>
      <c r="D137" s="90" t="s">
        <v>345</v>
      </c>
      <c r="E137" s="91">
        <v>43579214.990000002</v>
      </c>
      <c r="F137" s="91">
        <v>187540567.61000001</v>
      </c>
      <c r="G137" s="91">
        <v>317090021.10000002</v>
      </c>
      <c r="H137" s="91">
        <v>1110859865.51</v>
      </c>
      <c r="I137" s="91">
        <v>255958630.55000001</v>
      </c>
      <c r="J137" s="91">
        <v>315397727.32999998</v>
      </c>
      <c r="K137" s="91">
        <v>201906599.65000001</v>
      </c>
      <c r="L137" s="91">
        <v>633495225.53999996</v>
      </c>
      <c r="M137" s="91">
        <v>1854708144.8800001</v>
      </c>
      <c r="N137" s="91">
        <v>139850930.81</v>
      </c>
      <c r="O137" s="91">
        <v>94220351.379999995</v>
      </c>
      <c r="P137" s="91">
        <v>2644663313.4299998</v>
      </c>
      <c r="Q137" s="91">
        <v>272855714.99000001</v>
      </c>
      <c r="R137" s="91">
        <v>8072126307.7700005</v>
      </c>
      <c r="S137" s="90" t="s">
        <v>344</v>
      </c>
      <c r="T137" s="288"/>
      <c r="U137" s="264"/>
    </row>
    <row r="138" spans="2:21" x14ac:dyDescent="0.35">
      <c r="B138" s="254" t="s">
        <v>82</v>
      </c>
      <c r="C138" s="255"/>
      <c r="D138" s="92" t="s">
        <v>313</v>
      </c>
      <c r="E138" s="93">
        <v>1132822</v>
      </c>
      <c r="F138" s="93">
        <v>3281654</v>
      </c>
      <c r="G138" s="93">
        <v>5906566</v>
      </c>
      <c r="H138" s="93">
        <v>12965309</v>
      </c>
      <c r="I138" s="93">
        <v>2269876</v>
      </c>
      <c r="J138" s="93">
        <v>4274399</v>
      </c>
      <c r="K138" s="93">
        <v>1602833</v>
      </c>
      <c r="L138" s="93">
        <v>6500955</v>
      </c>
      <c r="M138" s="93">
        <v>28636256</v>
      </c>
      <c r="N138" s="93">
        <v>1291746</v>
      </c>
      <c r="O138" s="93">
        <v>1083718</v>
      </c>
      <c r="P138" s="93">
        <v>21766298</v>
      </c>
      <c r="Q138" s="93">
        <v>2611081</v>
      </c>
      <c r="R138" s="93">
        <v>93323513</v>
      </c>
      <c r="S138" s="92" t="s">
        <v>312</v>
      </c>
      <c r="T138" s="258" t="s">
        <v>98</v>
      </c>
      <c r="U138" s="259"/>
    </row>
    <row r="139" spans="2:21" x14ac:dyDescent="0.35">
      <c r="B139" s="256"/>
      <c r="C139" s="257"/>
      <c r="D139" s="94" t="s">
        <v>345</v>
      </c>
      <c r="E139" s="95">
        <v>917327464.29999995</v>
      </c>
      <c r="F139" s="95">
        <v>3066150038.3899999</v>
      </c>
      <c r="G139" s="95">
        <v>5282957246.2299995</v>
      </c>
      <c r="H139" s="95">
        <v>14624904753.639999</v>
      </c>
      <c r="I139" s="95">
        <v>2665468042.96</v>
      </c>
      <c r="J139" s="95">
        <v>3377110796.77</v>
      </c>
      <c r="K139" s="95">
        <v>2068901811.1700001</v>
      </c>
      <c r="L139" s="95">
        <v>9015413270.3400002</v>
      </c>
      <c r="M139" s="95">
        <v>38615455034.089996</v>
      </c>
      <c r="N139" s="95">
        <v>1795379795.6199999</v>
      </c>
      <c r="O139" s="95">
        <v>1646655193.1400001</v>
      </c>
      <c r="P139" s="95">
        <v>39744145097.199997</v>
      </c>
      <c r="Q139" s="95">
        <v>4256672083.6500001</v>
      </c>
      <c r="R139" s="95">
        <v>127076540627.5</v>
      </c>
      <c r="S139" s="94" t="s">
        <v>344</v>
      </c>
      <c r="T139" s="260"/>
      <c r="U139" s="261"/>
    </row>
  </sheetData>
  <mergeCells count="142">
    <mergeCell ref="C136:C137"/>
    <mergeCell ref="T136:T137"/>
    <mergeCell ref="B138:C139"/>
    <mergeCell ref="T138:U139"/>
    <mergeCell ref="B114:B137"/>
    <mergeCell ref="C114:C115"/>
    <mergeCell ref="T114:T115"/>
    <mergeCell ref="U114:U137"/>
    <mergeCell ref="C116:C117"/>
    <mergeCell ref="T116:T117"/>
    <mergeCell ref="C118:C119"/>
    <mergeCell ref="T118:T119"/>
    <mergeCell ref="C120:C121"/>
    <mergeCell ref="T120:T121"/>
    <mergeCell ref="C122:C123"/>
    <mergeCell ref="T122:T123"/>
    <mergeCell ref="C124:C125"/>
    <mergeCell ref="T124:T125"/>
    <mergeCell ref="C126:C127"/>
    <mergeCell ref="T126:T127"/>
    <mergeCell ref="C128:C129"/>
    <mergeCell ref="T128:T129"/>
    <mergeCell ref="C130:C131"/>
    <mergeCell ref="T130:T131"/>
    <mergeCell ref="C132:C133"/>
    <mergeCell ref="T132:T133"/>
    <mergeCell ref="C134:C135"/>
    <mergeCell ref="T134:T135"/>
    <mergeCell ref="C10:C11"/>
    <mergeCell ref="T10:T11"/>
    <mergeCell ref="U10:U33"/>
    <mergeCell ref="C12:C13"/>
    <mergeCell ref="T12:T13"/>
    <mergeCell ref="C14:C15"/>
    <mergeCell ref="T14:T15"/>
    <mergeCell ref="C16:C17"/>
    <mergeCell ref="T16:T17"/>
    <mergeCell ref="C24:C25"/>
    <mergeCell ref="T24:T25"/>
    <mergeCell ref="C26:C27"/>
    <mergeCell ref="T26:T27"/>
    <mergeCell ref="C18:C19"/>
    <mergeCell ref="T18:T19"/>
    <mergeCell ref="C20:C21"/>
    <mergeCell ref="T20:T21"/>
    <mergeCell ref="C22:C23"/>
    <mergeCell ref="T22:T23"/>
    <mergeCell ref="C30:C31"/>
    <mergeCell ref="T30:T31"/>
    <mergeCell ref="U36:U59"/>
    <mergeCell ref="C38:C39"/>
    <mergeCell ref="T38:T39"/>
    <mergeCell ref="C40:C41"/>
    <mergeCell ref="T40:T41"/>
    <mergeCell ref="C42:C43"/>
    <mergeCell ref="T42:T43"/>
    <mergeCell ref="C50:C51"/>
    <mergeCell ref="T50:T51"/>
    <mergeCell ref="C52:C53"/>
    <mergeCell ref="T52:T53"/>
    <mergeCell ref="C80:C81"/>
    <mergeCell ref="T80:T81"/>
    <mergeCell ref="C70:C71"/>
    <mergeCell ref="T70:T71"/>
    <mergeCell ref="C72:C73"/>
    <mergeCell ref="T72:T73"/>
    <mergeCell ref="C74:C75"/>
    <mergeCell ref="T74:T75"/>
    <mergeCell ref="B60:C61"/>
    <mergeCell ref="T60:U61"/>
    <mergeCell ref="A2:E2"/>
    <mergeCell ref="A3:E3"/>
    <mergeCell ref="C56:C57"/>
    <mergeCell ref="T56:T57"/>
    <mergeCell ref="C58:C59"/>
    <mergeCell ref="T58:T59"/>
    <mergeCell ref="C54:C55"/>
    <mergeCell ref="T54:T55"/>
    <mergeCell ref="C44:C45"/>
    <mergeCell ref="T44:T45"/>
    <mergeCell ref="C46:C47"/>
    <mergeCell ref="T46:T47"/>
    <mergeCell ref="C48:C49"/>
    <mergeCell ref="T48:T49"/>
    <mergeCell ref="C28:C29"/>
    <mergeCell ref="T28:T29"/>
    <mergeCell ref="C32:C33"/>
    <mergeCell ref="T32:T33"/>
    <mergeCell ref="B36:B59"/>
    <mergeCell ref="C36:C37"/>
    <mergeCell ref="T36:T37"/>
    <mergeCell ref="B34:C35"/>
    <mergeCell ref="T34:U35"/>
    <mergeCell ref="B10:B33"/>
    <mergeCell ref="C98:C99"/>
    <mergeCell ref="T98:T99"/>
    <mergeCell ref="C100:C101"/>
    <mergeCell ref="T100:T101"/>
    <mergeCell ref="C82:C83"/>
    <mergeCell ref="T82:T83"/>
    <mergeCell ref="C84:C85"/>
    <mergeCell ref="T84:T85"/>
    <mergeCell ref="B86:C87"/>
    <mergeCell ref="T86:U87"/>
    <mergeCell ref="B62:B85"/>
    <mergeCell ref="C62:C63"/>
    <mergeCell ref="T62:T63"/>
    <mergeCell ref="U62:U85"/>
    <mergeCell ref="C64:C65"/>
    <mergeCell ref="T64:T65"/>
    <mergeCell ref="C66:C67"/>
    <mergeCell ref="T66:T67"/>
    <mergeCell ref="C68:C69"/>
    <mergeCell ref="T68:T69"/>
    <mergeCell ref="C76:C77"/>
    <mergeCell ref="T76:T77"/>
    <mergeCell ref="C78:C79"/>
    <mergeCell ref="T78:T79"/>
    <mergeCell ref="C108:C109"/>
    <mergeCell ref="T108:T109"/>
    <mergeCell ref="C110:C111"/>
    <mergeCell ref="T110:T111"/>
    <mergeCell ref="B112:C113"/>
    <mergeCell ref="T112:U113"/>
    <mergeCell ref="C102:C103"/>
    <mergeCell ref="T102:T103"/>
    <mergeCell ref="C104:C105"/>
    <mergeCell ref="T104:T105"/>
    <mergeCell ref="C106:C107"/>
    <mergeCell ref="T106:T107"/>
    <mergeCell ref="B88:B111"/>
    <mergeCell ref="C88:C89"/>
    <mergeCell ref="T88:T89"/>
    <mergeCell ref="U88:U111"/>
    <mergeCell ref="C90:C91"/>
    <mergeCell ref="T90:T91"/>
    <mergeCell ref="C92:C93"/>
    <mergeCell ref="T92:T93"/>
    <mergeCell ref="C94:C95"/>
    <mergeCell ref="T94:T95"/>
    <mergeCell ref="C96:C97"/>
    <mergeCell ref="T96:T97"/>
  </mergeCells>
  <pageMargins left="0.7" right="0.7" top="0.75" bottom="0.75" header="0.3" footer="0.3"/>
  <pageSetup orientation="portrait" r:id="rId1"/>
  <headerFooter>
    <oddFooter>&amp;C&amp;1#&amp;"Calibri"&amp;11&amp;Kffa500CONFIDENTIAL▮▮مقيّد</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1C7C6-139F-4F69-B0C6-CE242A64875B}">
  <sheetPr>
    <tabColor rgb="FF00B0F0"/>
  </sheetPr>
  <dimension ref="A1:AW141"/>
  <sheetViews>
    <sheetView showGridLines="0" topLeftCell="C1" zoomScale="30" zoomScaleNormal="30" workbookViewId="0">
      <pane ySplit="10" topLeftCell="A56" activePane="bottomLeft" state="frozen"/>
      <selection pane="bottomLeft" activeCell="E116" sqref="E116:AT141"/>
    </sheetView>
  </sheetViews>
  <sheetFormatPr defaultColWidth="8.81640625" defaultRowHeight="14.5" x14ac:dyDescent="0.35"/>
  <cols>
    <col min="3" max="3" width="17.81640625" bestFit="1" customWidth="1"/>
    <col min="4" max="4" width="33" bestFit="1" customWidth="1"/>
    <col min="5" max="11" width="19.453125" customWidth="1"/>
    <col min="12" max="12" width="17.81640625" bestFit="1" customWidth="1"/>
    <col min="13" max="14" width="18.54296875" customWidth="1"/>
    <col min="15" max="15" width="21.453125" customWidth="1"/>
    <col min="16" max="16" width="22.453125" customWidth="1"/>
    <col min="17" max="18" width="21.453125" customWidth="1"/>
    <col min="19" max="20" width="17.81640625" customWidth="1"/>
    <col min="21" max="23" width="17.54296875" customWidth="1"/>
    <col min="24" max="25" width="18.54296875" customWidth="1"/>
    <col min="26" max="31" width="17.54296875" customWidth="1"/>
    <col min="32" max="32" width="19.453125" bestFit="1" customWidth="1"/>
    <col min="33" max="34" width="17.54296875" customWidth="1"/>
    <col min="35" max="45" width="17.453125" customWidth="1"/>
    <col min="46" max="46" width="17.54296875" customWidth="1"/>
    <col min="47" max="47" width="17.81640625" bestFit="1" customWidth="1"/>
  </cols>
  <sheetData>
    <row r="1" spans="1:49" x14ac:dyDescent="0.35">
      <c r="A1" s="9" t="s">
        <v>479</v>
      </c>
      <c r="B1" s="9" t="s">
        <v>524</v>
      </c>
    </row>
    <row r="2" spans="1:49" x14ac:dyDescent="0.35">
      <c r="A2" s="232" t="s">
        <v>448</v>
      </c>
      <c r="B2" s="232"/>
      <c r="C2" s="232"/>
      <c r="D2" s="232"/>
      <c r="E2" s="232"/>
    </row>
    <row r="3" spans="1:49" x14ac:dyDescent="0.35">
      <c r="A3" s="232" t="s">
        <v>449</v>
      </c>
      <c r="B3" s="232"/>
      <c r="C3" s="232"/>
      <c r="D3" s="232"/>
      <c r="E3" s="232"/>
    </row>
    <row r="4" spans="1:49" x14ac:dyDescent="0.35">
      <c r="A4" s="9"/>
      <c r="B4" s="192"/>
      <c r="C4" s="192"/>
      <c r="D4" s="192"/>
      <c r="E4" s="192"/>
    </row>
    <row r="6" spans="1:49" s="84" customFormat="1" ht="18" customHeight="1" x14ac:dyDescent="0.35">
      <c r="A6" s="10" t="s">
        <v>17</v>
      </c>
      <c r="B6" s="30" t="s">
        <v>366</v>
      </c>
      <c r="C6" s="82"/>
      <c r="D6" s="82"/>
      <c r="E6" s="82"/>
      <c r="F6" s="82"/>
      <c r="G6" s="82"/>
      <c r="H6" s="82"/>
      <c r="I6" s="82"/>
      <c r="J6" s="82"/>
      <c r="K6" s="82"/>
      <c r="L6" s="82"/>
      <c r="M6" s="82"/>
      <c r="N6" s="82"/>
      <c r="O6" s="82"/>
      <c r="P6" s="82"/>
      <c r="Q6" s="82"/>
      <c r="R6" s="82"/>
      <c r="S6" s="82"/>
      <c r="T6" s="82"/>
      <c r="U6" s="82"/>
      <c r="V6" s="82"/>
      <c r="W6" s="82"/>
      <c r="X6" s="82"/>
      <c r="Y6" s="82"/>
      <c r="Z6" s="82"/>
      <c r="AA6" s="82"/>
      <c r="AB6" s="82"/>
      <c r="AC6" s="82"/>
      <c r="AD6" s="82"/>
      <c r="AE6" s="82"/>
      <c r="AF6" s="278" t="s">
        <v>365</v>
      </c>
      <c r="AG6" s="278"/>
      <c r="AH6" s="278"/>
      <c r="AI6" s="278"/>
      <c r="AJ6" s="278"/>
      <c r="AK6" s="278"/>
      <c r="AL6" s="278"/>
      <c r="AM6" s="278"/>
      <c r="AN6" s="278"/>
      <c r="AO6" s="278"/>
      <c r="AP6" s="278"/>
      <c r="AQ6" s="278"/>
      <c r="AR6" s="278"/>
      <c r="AS6" s="278"/>
      <c r="AT6" s="278"/>
      <c r="AU6" s="278"/>
      <c r="AV6" s="278"/>
    </row>
    <row r="7" spans="1:49" ht="18" customHeight="1" x14ac:dyDescent="0.35">
      <c r="B7" s="59"/>
      <c r="C7" s="60"/>
    </row>
    <row r="8" spans="1:49" s="141" customFormat="1" x14ac:dyDescent="0.35">
      <c r="E8" s="279" t="s">
        <v>50</v>
      </c>
      <c r="F8" s="280"/>
      <c r="G8" s="281"/>
      <c r="H8" s="279" t="s">
        <v>59</v>
      </c>
      <c r="I8" s="280"/>
      <c r="J8" s="280"/>
      <c r="K8" s="281"/>
      <c r="L8" s="279" t="s">
        <v>49</v>
      </c>
      <c r="M8" s="280"/>
      <c r="N8" s="281"/>
      <c r="O8" s="279" t="s">
        <v>51</v>
      </c>
      <c r="P8" s="280"/>
      <c r="Q8" s="280"/>
      <c r="R8" s="281"/>
      <c r="S8" s="279" t="s">
        <v>52</v>
      </c>
      <c r="T8" s="281"/>
      <c r="U8" s="279" t="s">
        <v>53</v>
      </c>
      <c r="V8" s="281"/>
      <c r="W8" s="279" t="s">
        <v>54</v>
      </c>
      <c r="X8" s="280"/>
      <c r="Y8" s="281"/>
      <c r="Z8" s="279" t="s">
        <v>55</v>
      </c>
      <c r="AA8" s="280"/>
      <c r="AB8" s="280"/>
      <c r="AC8" s="281"/>
      <c r="AD8" s="279" t="s">
        <v>56</v>
      </c>
      <c r="AE8" s="280"/>
      <c r="AF8" s="280"/>
      <c r="AG8" s="280"/>
      <c r="AH8" s="281"/>
      <c r="AI8" s="279" t="s">
        <v>57</v>
      </c>
      <c r="AJ8" s="281"/>
      <c r="AK8" s="279" t="s">
        <v>58</v>
      </c>
      <c r="AL8" s="281"/>
      <c r="AM8" s="279" t="s">
        <v>60</v>
      </c>
      <c r="AN8" s="281"/>
      <c r="AO8" s="270" t="s">
        <v>61</v>
      </c>
      <c r="AP8" s="271"/>
      <c r="AQ8" s="271"/>
      <c r="AR8" s="271"/>
      <c r="AS8" s="271"/>
    </row>
    <row r="9" spans="1:49" s="141" customFormat="1" x14ac:dyDescent="0.35">
      <c r="E9" s="265" t="s">
        <v>389</v>
      </c>
      <c r="F9" s="266"/>
      <c r="G9" s="267"/>
      <c r="H9" s="265" t="s">
        <v>395</v>
      </c>
      <c r="I9" s="266"/>
      <c r="J9" s="266"/>
      <c r="K9" s="267"/>
      <c r="L9" s="265" t="s">
        <v>396</v>
      </c>
      <c r="M9" s="266"/>
      <c r="N9" s="267"/>
      <c r="O9" s="265" t="s">
        <v>402</v>
      </c>
      <c r="P9" s="266"/>
      <c r="Q9" s="266"/>
      <c r="R9" s="267"/>
      <c r="S9" s="265" t="s">
        <v>403</v>
      </c>
      <c r="T9" s="267"/>
      <c r="U9" s="265" t="s">
        <v>404</v>
      </c>
      <c r="V9" s="267"/>
      <c r="W9" s="265" t="s">
        <v>405</v>
      </c>
      <c r="X9" s="266"/>
      <c r="Y9" s="267"/>
      <c r="Z9" s="265" t="s">
        <v>406</v>
      </c>
      <c r="AA9" s="266"/>
      <c r="AB9" s="266"/>
      <c r="AC9" s="267"/>
      <c r="AD9" s="265" t="s">
        <v>407</v>
      </c>
      <c r="AE9" s="266"/>
      <c r="AF9" s="266"/>
      <c r="AG9" s="266"/>
      <c r="AH9" s="267"/>
      <c r="AI9" s="265" t="s">
        <v>408</v>
      </c>
      <c r="AJ9" s="267"/>
      <c r="AK9" s="265" t="s">
        <v>409</v>
      </c>
      <c r="AL9" s="267"/>
      <c r="AM9" s="265" t="s">
        <v>410</v>
      </c>
      <c r="AN9" s="267"/>
      <c r="AO9" s="270" t="s">
        <v>411</v>
      </c>
      <c r="AP9" s="271"/>
      <c r="AQ9" s="271"/>
      <c r="AR9" s="271"/>
      <c r="AS9" s="271"/>
    </row>
    <row r="10" spans="1:49" s="141" customFormat="1" x14ac:dyDescent="0.35">
      <c r="C10" s="272" t="s">
        <v>99</v>
      </c>
      <c r="D10" s="274" t="s">
        <v>223</v>
      </c>
      <c r="E10" s="85" t="s">
        <v>261</v>
      </c>
      <c r="F10" s="85" t="s">
        <v>388</v>
      </c>
      <c r="G10" s="85" t="s">
        <v>391</v>
      </c>
      <c r="H10" s="85" t="s">
        <v>288</v>
      </c>
      <c r="I10" s="85" t="s">
        <v>392</v>
      </c>
      <c r="J10" s="85" t="s">
        <v>283</v>
      </c>
      <c r="K10" s="85" t="s">
        <v>394</v>
      </c>
      <c r="L10" s="85" t="s">
        <v>275</v>
      </c>
      <c r="M10" s="85" t="s">
        <v>397</v>
      </c>
      <c r="N10" s="85" t="s">
        <v>398</v>
      </c>
      <c r="O10" s="85" t="s">
        <v>276</v>
      </c>
      <c r="P10" s="85" t="s">
        <v>277</v>
      </c>
      <c r="Q10" s="85" t="s">
        <v>280</v>
      </c>
      <c r="R10" s="85" t="s">
        <v>412</v>
      </c>
      <c r="S10" s="85" t="s">
        <v>264</v>
      </c>
      <c r="T10" s="85" t="s">
        <v>414</v>
      </c>
      <c r="U10" s="85" t="s">
        <v>265</v>
      </c>
      <c r="V10" s="85" t="s">
        <v>416</v>
      </c>
      <c r="W10" s="85" t="s">
        <v>420</v>
      </c>
      <c r="X10" s="85" t="s">
        <v>282</v>
      </c>
      <c r="Y10" s="85" t="s">
        <v>418</v>
      </c>
      <c r="Z10" s="85" t="s">
        <v>421</v>
      </c>
      <c r="AA10" s="85" t="s">
        <v>267</v>
      </c>
      <c r="AB10" s="85" t="s">
        <v>422</v>
      </c>
      <c r="AC10" s="85" t="s">
        <v>423</v>
      </c>
      <c r="AD10" s="85" t="s">
        <v>281</v>
      </c>
      <c r="AE10" s="85" t="s">
        <v>268</v>
      </c>
      <c r="AF10" s="85" t="s">
        <v>425</v>
      </c>
      <c r="AG10" s="85" t="s">
        <v>279</v>
      </c>
      <c r="AH10" s="85" t="s">
        <v>426</v>
      </c>
      <c r="AI10" s="85" t="s">
        <v>269</v>
      </c>
      <c r="AJ10" s="85" t="s">
        <v>428</v>
      </c>
      <c r="AK10" s="85" t="s">
        <v>278</v>
      </c>
      <c r="AL10" s="85" t="s">
        <v>430</v>
      </c>
      <c r="AM10" s="85" t="s">
        <v>271</v>
      </c>
      <c r="AN10" s="85" t="s">
        <v>432</v>
      </c>
      <c r="AO10" s="85" t="s">
        <v>434</v>
      </c>
      <c r="AP10" s="85" t="s">
        <v>435</v>
      </c>
      <c r="AQ10" s="85" t="s">
        <v>272</v>
      </c>
      <c r="AR10" s="85" t="s">
        <v>436</v>
      </c>
      <c r="AS10" s="85" t="s">
        <v>401</v>
      </c>
      <c r="AT10" s="85" t="s">
        <v>98</v>
      </c>
      <c r="AU10" s="276" t="s">
        <v>222</v>
      </c>
      <c r="AV10" s="268" t="s">
        <v>100</v>
      </c>
    </row>
    <row r="11" spans="1:49" s="141" customFormat="1" x14ac:dyDescent="0.35">
      <c r="B11" s="59"/>
      <c r="C11" s="273"/>
      <c r="D11" s="275"/>
      <c r="E11" s="85" t="s">
        <v>367</v>
      </c>
      <c r="F11" s="85" t="s">
        <v>368</v>
      </c>
      <c r="G11" s="85" t="s">
        <v>390</v>
      </c>
      <c r="H11" s="85" t="s">
        <v>369</v>
      </c>
      <c r="I11" s="85" t="s">
        <v>370</v>
      </c>
      <c r="J11" s="85" t="s">
        <v>371</v>
      </c>
      <c r="K11" s="85" t="s">
        <v>393</v>
      </c>
      <c r="L11" s="85" t="s">
        <v>372</v>
      </c>
      <c r="M11" s="85" t="s">
        <v>373</v>
      </c>
      <c r="N11" s="85" t="s">
        <v>399</v>
      </c>
      <c r="O11" s="85" t="s">
        <v>374</v>
      </c>
      <c r="P11" s="85" t="s">
        <v>375</v>
      </c>
      <c r="Q11" s="85" t="s">
        <v>376</v>
      </c>
      <c r="R11" s="85" t="s">
        <v>413</v>
      </c>
      <c r="S11" s="85" t="s">
        <v>252</v>
      </c>
      <c r="T11" s="85" t="s">
        <v>415</v>
      </c>
      <c r="U11" s="85" t="s">
        <v>253</v>
      </c>
      <c r="V11" s="85" t="s">
        <v>417</v>
      </c>
      <c r="W11" s="85" t="s">
        <v>377</v>
      </c>
      <c r="X11" s="85" t="s">
        <v>378</v>
      </c>
      <c r="Y11" s="85" t="s">
        <v>419</v>
      </c>
      <c r="Z11" s="85" t="s">
        <v>379</v>
      </c>
      <c r="AA11" s="85" t="s">
        <v>255</v>
      </c>
      <c r="AB11" s="85" t="s">
        <v>380</v>
      </c>
      <c r="AC11" s="85" t="s">
        <v>424</v>
      </c>
      <c r="AD11" s="85" t="s">
        <v>381</v>
      </c>
      <c r="AE11" s="85" t="s">
        <v>256</v>
      </c>
      <c r="AF11" s="85" t="s">
        <v>382</v>
      </c>
      <c r="AG11" s="85" t="s">
        <v>383</v>
      </c>
      <c r="AH11" s="85" t="s">
        <v>427</v>
      </c>
      <c r="AI11" s="85" t="s">
        <v>257</v>
      </c>
      <c r="AJ11" s="85" t="s">
        <v>429</v>
      </c>
      <c r="AK11" s="85" t="s">
        <v>384</v>
      </c>
      <c r="AL11" s="85" t="s">
        <v>431</v>
      </c>
      <c r="AM11" s="85" t="s">
        <v>259</v>
      </c>
      <c r="AN11" s="85" t="s">
        <v>433</v>
      </c>
      <c r="AO11" s="85" t="s">
        <v>385</v>
      </c>
      <c r="AP11" s="85" t="s">
        <v>386</v>
      </c>
      <c r="AQ11" s="85" t="s">
        <v>260</v>
      </c>
      <c r="AR11" s="85" t="s">
        <v>387</v>
      </c>
      <c r="AS11" s="85" t="s">
        <v>400</v>
      </c>
      <c r="AT11" s="110" t="s">
        <v>274</v>
      </c>
      <c r="AU11" s="277"/>
      <c r="AV11" s="269"/>
    </row>
    <row r="12" spans="1:49" s="141" customFormat="1" x14ac:dyDescent="0.35">
      <c r="B12" s="233">
        <v>2021</v>
      </c>
      <c r="C12" s="250" t="s">
        <v>70</v>
      </c>
      <c r="D12" s="88" t="s">
        <v>313</v>
      </c>
      <c r="E12" s="89">
        <v>27457</v>
      </c>
      <c r="F12" s="89">
        <v>15010</v>
      </c>
      <c r="G12" s="89">
        <v>15828</v>
      </c>
      <c r="H12" s="89">
        <v>141867</v>
      </c>
      <c r="I12" s="89">
        <v>48168</v>
      </c>
      <c r="J12" s="89">
        <v>44836</v>
      </c>
      <c r="K12" s="89">
        <v>89216</v>
      </c>
      <c r="L12" s="89">
        <v>102695</v>
      </c>
      <c r="M12" s="89">
        <v>73971</v>
      </c>
      <c r="N12" s="89">
        <v>198208</v>
      </c>
      <c r="O12" s="89">
        <v>208919</v>
      </c>
      <c r="P12" s="89">
        <v>136539</v>
      </c>
      <c r="Q12" s="89">
        <v>233354</v>
      </c>
      <c r="R12" s="89">
        <v>343681</v>
      </c>
      <c r="S12" s="89">
        <v>121260</v>
      </c>
      <c r="T12" s="89">
        <v>56048</v>
      </c>
      <c r="U12" s="89">
        <v>130322</v>
      </c>
      <c r="V12" s="89">
        <v>283366</v>
      </c>
      <c r="W12" s="89">
        <v>20374</v>
      </c>
      <c r="X12" s="89">
        <v>48710</v>
      </c>
      <c r="Y12" s="89">
        <v>5018</v>
      </c>
      <c r="Z12" s="89">
        <v>30994</v>
      </c>
      <c r="AA12" s="89">
        <v>305154</v>
      </c>
      <c r="AB12" s="89">
        <v>92776</v>
      </c>
      <c r="AC12" s="89">
        <v>14799</v>
      </c>
      <c r="AD12" s="89">
        <v>843104</v>
      </c>
      <c r="AE12" s="89">
        <v>435416</v>
      </c>
      <c r="AF12" s="89">
        <v>34447</v>
      </c>
      <c r="AG12" s="89">
        <v>170286</v>
      </c>
      <c r="AH12" s="89">
        <v>169596</v>
      </c>
      <c r="AI12" s="89">
        <v>60512</v>
      </c>
      <c r="AJ12" s="89">
        <v>14439</v>
      </c>
      <c r="AK12" s="89">
        <v>44668</v>
      </c>
      <c r="AL12" s="89">
        <v>31364</v>
      </c>
      <c r="AM12" s="89">
        <v>878724</v>
      </c>
      <c r="AN12" s="89">
        <v>241791</v>
      </c>
      <c r="AO12" s="89">
        <v>12587</v>
      </c>
      <c r="AP12" s="89">
        <v>16635</v>
      </c>
      <c r="AQ12" s="89">
        <v>134641</v>
      </c>
      <c r="AR12" s="89">
        <v>19123</v>
      </c>
      <c r="AS12" s="89">
        <v>23805</v>
      </c>
      <c r="AT12" s="89">
        <v>5919708</v>
      </c>
      <c r="AU12" s="88" t="s">
        <v>312</v>
      </c>
      <c r="AV12" s="252" t="s">
        <v>86</v>
      </c>
      <c r="AW12" s="262">
        <v>2021</v>
      </c>
    </row>
    <row r="13" spans="1:49" s="141" customFormat="1" x14ac:dyDescent="0.35">
      <c r="B13" s="234"/>
      <c r="C13" s="251"/>
      <c r="D13" s="90" t="s">
        <v>345</v>
      </c>
      <c r="E13" s="91">
        <v>26604711.359999999</v>
      </c>
      <c r="F13" s="91">
        <v>19841108.800000001</v>
      </c>
      <c r="G13" s="91">
        <v>28711758.829999998</v>
      </c>
      <c r="H13" s="91">
        <v>151213982.31999999</v>
      </c>
      <c r="I13" s="91">
        <v>41305487.380000003</v>
      </c>
      <c r="J13" s="91">
        <v>42458949.75</v>
      </c>
      <c r="K13" s="91">
        <v>94456497.840000004</v>
      </c>
      <c r="L13" s="91">
        <v>137180986.53999999</v>
      </c>
      <c r="M13" s="91">
        <v>120033396.87</v>
      </c>
      <c r="N13" s="91">
        <v>232587340.56999999</v>
      </c>
      <c r="O13" s="91">
        <v>452680857.37</v>
      </c>
      <c r="P13" s="91">
        <v>150339614.15000001</v>
      </c>
      <c r="Q13" s="91">
        <v>332111726.41000003</v>
      </c>
      <c r="R13" s="91">
        <v>518904475.22000003</v>
      </c>
      <c r="S13" s="91">
        <v>181551793.11000001</v>
      </c>
      <c r="T13" s="91">
        <v>54617498.630000003</v>
      </c>
      <c r="U13" s="91">
        <v>137893213.53</v>
      </c>
      <c r="V13" s="91">
        <v>296137890.36000001</v>
      </c>
      <c r="W13" s="91">
        <v>41980031.259999998</v>
      </c>
      <c r="X13" s="91">
        <v>84953573.909999996</v>
      </c>
      <c r="Y13" s="91">
        <v>9539034.4499999993</v>
      </c>
      <c r="Z13" s="91">
        <v>57930249.039999999</v>
      </c>
      <c r="AA13" s="91">
        <v>374318291.76999998</v>
      </c>
      <c r="AB13" s="91">
        <v>97795572.290000007</v>
      </c>
      <c r="AC13" s="91">
        <v>11977238.439999999</v>
      </c>
      <c r="AD13" s="91">
        <v>1514070094.8</v>
      </c>
      <c r="AE13" s="91">
        <v>743810957.90999997</v>
      </c>
      <c r="AF13" s="91">
        <v>20280676.620000001</v>
      </c>
      <c r="AG13" s="91">
        <v>133993861.11</v>
      </c>
      <c r="AH13" s="91">
        <v>126149173.63</v>
      </c>
      <c r="AI13" s="91">
        <v>137822987.83000001</v>
      </c>
      <c r="AJ13" s="91">
        <v>28012689.460000001</v>
      </c>
      <c r="AK13" s="91">
        <v>78324956.040000007</v>
      </c>
      <c r="AL13" s="91">
        <v>71031987.939999998</v>
      </c>
      <c r="AM13" s="91">
        <v>1840081196.0899999</v>
      </c>
      <c r="AN13" s="91">
        <v>214081508.84</v>
      </c>
      <c r="AO13" s="91">
        <v>12231893.390000001</v>
      </c>
      <c r="AP13" s="91">
        <v>39688918.789999999</v>
      </c>
      <c r="AQ13" s="91">
        <v>231323176.68000001</v>
      </c>
      <c r="AR13" s="91">
        <v>8121035.8899999997</v>
      </c>
      <c r="AS13" s="91">
        <v>51061688.439999998</v>
      </c>
      <c r="AT13" s="91">
        <v>8947212083.6599998</v>
      </c>
      <c r="AU13" s="90" t="s">
        <v>344</v>
      </c>
      <c r="AV13" s="253"/>
      <c r="AW13" s="263"/>
    </row>
    <row r="14" spans="1:49" s="141" customFormat="1" x14ac:dyDescent="0.35">
      <c r="B14" s="234"/>
      <c r="C14" s="250" t="s">
        <v>71</v>
      </c>
      <c r="D14" s="88" t="s">
        <v>313</v>
      </c>
      <c r="E14" s="89">
        <v>16064</v>
      </c>
      <c r="F14" s="89">
        <v>10577</v>
      </c>
      <c r="G14" s="89">
        <v>7828</v>
      </c>
      <c r="H14" s="89">
        <v>101326</v>
      </c>
      <c r="I14" s="89">
        <v>29209</v>
      </c>
      <c r="J14" s="89">
        <v>29468</v>
      </c>
      <c r="K14" s="89">
        <v>102735</v>
      </c>
      <c r="L14" s="89">
        <v>75475</v>
      </c>
      <c r="M14" s="89">
        <v>58253</v>
      </c>
      <c r="N14" s="89">
        <v>168039</v>
      </c>
      <c r="O14" s="89">
        <v>198486</v>
      </c>
      <c r="P14" s="89">
        <v>79634</v>
      </c>
      <c r="Q14" s="89">
        <v>159981</v>
      </c>
      <c r="R14" s="89">
        <v>307877</v>
      </c>
      <c r="S14" s="89">
        <v>68242</v>
      </c>
      <c r="T14" s="89">
        <v>48185</v>
      </c>
      <c r="U14" s="89">
        <v>59133</v>
      </c>
      <c r="V14" s="89">
        <v>230288</v>
      </c>
      <c r="W14" s="89">
        <v>15416</v>
      </c>
      <c r="X14" s="89">
        <v>42562</v>
      </c>
      <c r="Y14" s="89">
        <v>3360</v>
      </c>
      <c r="Z14" s="89">
        <v>20210</v>
      </c>
      <c r="AA14" s="89">
        <v>197220</v>
      </c>
      <c r="AB14" s="89">
        <v>51779</v>
      </c>
      <c r="AC14" s="89">
        <v>6859</v>
      </c>
      <c r="AD14" s="89">
        <v>499006</v>
      </c>
      <c r="AE14" s="89">
        <v>451076</v>
      </c>
      <c r="AF14" s="89">
        <v>22858</v>
      </c>
      <c r="AG14" s="89">
        <v>115356</v>
      </c>
      <c r="AH14" s="89">
        <v>144975</v>
      </c>
      <c r="AI14" s="89">
        <v>48725</v>
      </c>
      <c r="AJ14" s="89">
        <v>15312</v>
      </c>
      <c r="AK14" s="89">
        <v>44638</v>
      </c>
      <c r="AL14" s="89">
        <v>18204</v>
      </c>
      <c r="AM14" s="89">
        <v>582844</v>
      </c>
      <c r="AN14" s="89">
        <v>177788</v>
      </c>
      <c r="AO14" s="89">
        <v>8474</v>
      </c>
      <c r="AP14" s="89">
        <v>12933</v>
      </c>
      <c r="AQ14" s="89">
        <v>113458</v>
      </c>
      <c r="AR14" s="89">
        <v>12164</v>
      </c>
      <c r="AS14" s="89">
        <v>19897</v>
      </c>
      <c r="AT14" s="89">
        <v>4375914</v>
      </c>
      <c r="AU14" s="88" t="s">
        <v>312</v>
      </c>
      <c r="AV14" s="252" t="s">
        <v>87</v>
      </c>
      <c r="AW14" s="263"/>
    </row>
    <row r="15" spans="1:49" s="141" customFormat="1" x14ac:dyDescent="0.35">
      <c r="B15" s="234"/>
      <c r="C15" s="251"/>
      <c r="D15" s="90" t="s">
        <v>345</v>
      </c>
      <c r="E15" s="91">
        <v>14788919.869999999</v>
      </c>
      <c r="F15" s="91">
        <v>14414237.789999999</v>
      </c>
      <c r="G15" s="91">
        <v>11686126.890000001</v>
      </c>
      <c r="H15" s="91">
        <v>97068727.930000007</v>
      </c>
      <c r="I15" s="91">
        <v>26848889.530000001</v>
      </c>
      <c r="J15" s="91">
        <v>25421707.050000001</v>
      </c>
      <c r="K15" s="91">
        <v>100050807.28</v>
      </c>
      <c r="L15" s="91">
        <v>121365105.08</v>
      </c>
      <c r="M15" s="91">
        <v>61160791.170000002</v>
      </c>
      <c r="N15" s="91">
        <v>181961999.31999999</v>
      </c>
      <c r="O15" s="91">
        <v>452828282.55000001</v>
      </c>
      <c r="P15" s="91">
        <v>103312495.3</v>
      </c>
      <c r="Q15" s="91">
        <v>257419325.69999999</v>
      </c>
      <c r="R15" s="91">
        <v>426825246.33999997</v>
      </c>
      <c r="S15" s="91">
        <v>109966496.83</v>
      </c>
      <c r="T15" s="91">
        <v>57970097.899999999</v>
      </c>
      <c r="U15" s="91">
        <v>70107023.170000002</v>
      </c>
      <c r="V15" s="91">
        <v>211377933.87</v>
      </c>
      <c r="W15" s="91">
        <v>34232007.159999996</v>
      </c>
      <c r="X15" s="91">
        <v>63576060.119999997</v>
      </c>
      <c r="Y15" s="91">
        <v>10089330.85</v>
      </c>
      <c r="Z15" s="91">
        <v>47660208.899999999</v>
      </c>
      <c r="AA15" s="91">
        <v>224031624.03</v>
      </c>
      <c r="AB15" s="91">
        <v>63407104.840000004</v>
      </c>
      <c r="AC15" s="91">
        <v>6979297.9400000004</v>
      </c>
      <c r="AD15" s="91">
        <v>1022261090.66</v>
      </c>
      <c r="AE15" s="91">
        <v>707417309.22000003</v>
      </c>
      <c r="AF15" s="91">
        <v>10078685.24</v>
      </c>
      <c r="AG15" s="91">
        <v>98116593.079999998</v>
      </c>
      <c r="AH15" s="91">
        <v>95406505.670000002</v>
      </c>
      <c r="AI15" s="91">
        <v>122372760.18000001</v>
      </c>
      <c r="AJ15" s="91">
        <v>21492824.559999999</v>
      </c>
      <c r="AK15" s="91">
        <v>66860349.590000004</v>
      </c>
      <c r="AL15" s="91">
        <v>41212314.469999999</v>
      </c>
      <c r="AM15" s="91">
        <v>1187391180.6900001</v>
      </c>
      <c r="AN15" s="91">
        <v>186163363.81999999</v>
      </c>
      <c r="AO15" s="91">
        <v>8014579.0599999996</v>
      </c>
      <c r="AP15" s="91">
        <v>35981059.479999997</v>
      </c>
      <c r="AQ15" s="91">
        <v>207439485.00999999</v>
      </c>
      <c r="AR15" s="91">
        <v>18945778.780000001</v>
      </c>
      <c r="AS15" s="91">
        <v>57759038.68</v>
      </c>
      <c r="AT15" s="91">
        <v>6681462765.6000004</v>
      </c>
      <c r="AU15" s="90" t="s">
        <v>344</v>
      </c>
      <c r="AV15" s="253"/>
      <c r="AW15" s="263"/>
    </row>
    <row r="16" spans="1:49" s="141" customFormat="1" x14ac:dyDescent="0.35">
      <c r="B16" s="234"/>
      <c r="C16" s="250" t="s">
        <v>72</v>
      </c>
      <c r="D16" s="88" t="s">
        <v>313</v>
      </c>
      <c r="E16" s="89">
        <v>19032</v>
      </c>
      <c r="F16" s="89">
        <v>31690</v>
      </c>
      <c r="G16" s="89">
        <v>14014</v>
      </c>
      <c r="H16" s="89">
        <v>103128</v>
      </c>
      <c r="I16" s="89">
        <v>27556</v>
      </c>
      <c r="J16" s="89">
        <v>28568</v>
      </c>
      <c r="K16" s="89">
        <v>107064</v>
      </c>
      <c r="L16" s="89">
        <v>95330</v>
      </c>
      <c r="M16" s="89">
        <v>50753</v>
      </c>
      <c r="N16" s="89">
        <v>134102</v>
      </c>
      <c r="O16" s="89">
        <v>209858</v>
      </c>
      <c r="P16" s="89">
        <v>124252</v>
      </c>
      <c r="Q16" s="89">
        <v>174690</v>
      </c>
      <c r="R16" s="89">
        <v>271869</v>
      </c>
      <c r="S16" s="89">
        <v>67822</v>
      </c>
      <c r="T16" s="89">
        <v>51347</v>
      </c>
      <c r="U16" s="89">
        <v>48590</v>
      </c>
      <c r="V16" s="89">
        <v>158853</v>
      </c>
      <c r="W16" s="89">
        <v>13807</v>
      </c>
      <c r="X16" s="89">
        <v>37823</v>
      </c>
      <c r="Y16" s="89">
        <v>3086</v>
      </c>
      <c r="Z16" s="89">
        <v>21275</v>
      </c>
      <c r="AA16" s="89">
        <v>203881</v>
      </c>
      <c r="AB16" s="89">
        <v>52753</v>
      </c>
      <c r="AC16" s="89">
        <v>15152</v>
      </c>
      <c r="AD16" s="89">
        <v>485612</v>
      </c>
      <c r="AE16" s="89">
        <v>366323</v>
      </c>
      <c r="AF16" s="89">
        <v>24644</v>
      </c>
      <c r="AG16" s="89">
        <v>130551</v>
      </c>
      <c r="AH16" s="89">
        <v>191045</v>
      </c>
      <c r="AI16" s="89">
        <v>42398</v>
      </c>
      <c r="AJ16" s="89">
        <v>13319</v>
      </c>
      <c r="AK16" s="89">
        <v>33804</v>
      </c>
      <c r="AL16" s="89">
        <v>25262</v>
      </c>
      <c r="AM16" s="89">
        <v>603157</v>
      </c>
      <c r="AN16" s="89">
        <v>260495</v>
      </c>
      <c r="AO16" s="89">
        <v>8584</v>
      </c>
      <c r="AP16" s="89">
        <v>11592</v>
      </c>
      <c r="AQ16" s="89">
        <v>110323</v>
      </c>
      <c r="AR16" s="89">
        <v>11754</v>
      </c>
      <c r="AS16" s="89">
        <v>22879</v>
      </c>
      <c r="AT16" s="89">
        <v>4408037</v>
      </c>
      <c r="AU16" s="88" t="s">
        <v>312</v>
      </c>
      <c r="AV16" s="252" t="s">
        <v>88</v>
      </c>
      <c r="AW16" s="263"/>
    </row>
    <row r="17" spans="2:49" s="141" customFormat="1" x14ac:dyDescent="0.35">
      <c r="B17" s="234"/>
      <c r="C17" s="251"/>
      <c r="D17" s="90" t="s">
        <v>345</v>
      </c>
      <c r="E17" s="91">
        <v>19825161.350000001</v>
      </c>
      <c r="F17" s="91">
        <v>57088281.270000003</v>
      </c>
      <c r="G17" s="91">
        <v>12845766.939999999</v>
      </c>
      <c r="H17" s="91">
        <v>106164106.25</v>
      </c>
      <c r="I17" s="91">
        <v>17358161.77</v>
      </c>
      <c r="J17" s="91">
        <v>21121272.940000001</v>
      </c>
      <c r="K17" s="91">
        <v>91031139.75</v>
      </c>
      <c r="L17" s="91">
        <v>119722767.86</v>
      </c>
      <c r="M17" s="91">
        <v>82375486.239999995</v>
      </c>
      <c r="N17" s="91">
        <v>191937451.09999999</v>
      </c>
      <c r="O17" s="91">
        <v>505461082.75999999</v>
      </c>
      <c r="P17" s="91">
        <v>172860430.5</v>
      </c>
      <c r="Q17" s="91">
        <v>260784686.56999999</v>
      </c>
      <c r="R17" s="91">
        <v>360977406.04000002</v>
      </c>
      <c r="S17" s="91">
        <v>101922151.78</v>
      </c>
      <c r="T17" s="91">
        <v>49826322.229999997</v>
      </c>
      <c r="U17" s="91">
        <v>111472762.78</v>
      </c>
      <c r="V17" s="91">
        <v>167497710.63</v>
      </c>
      <c r="W17" s="91">
        <v>24596950.800000001</v>
      </c>
      <c r="X17" s="91">
        <v>68079006.510000005</v>
      </c>
      <c r="Y17" s="91">
        <v>7793632.9500000002</v>
      </c>
      <c r="Z17" s="91">
        <v>59586342.909999996</v>
      </c>
      <c r="AA17" s="91">
        <v>262107509.91</v>
      </c>
      <c r="AB17" s="91">
        <v>56207050.259999998</v>
      </c>
      <c r="AC17" s="91">
        <v>15297267.67</v>
      </c>
      <c r="AD17" s="91">
        <v>858901047.15999997</v>
      </c>
      <c r="AE17" s="91">
        <v>653346656.75</v>
      </c>
      <c r="AF17" s="91">
        <v>10337778.210000001</v>
      </c>
      <c r="AG17" s="91">
        <v>111329330.8</v>
      </c>
      <c r="AH17" s="91">
        <v>135843475.97999999</v>
      </c>
      <c r="AI17" s="91">
        <v>53739833.740000002</v>
      </c>
      <c r="AJ17" s="91">
        <v>23532499.579999998</v>
      </c>
      <c r="AK17" s="91">
        <v>54203274.700000003</v>
      </c>
      <c r="AL17" s="91">
        <v>42109810.640000001</v>
      </c>
      <c r="AM17" s="91">
        <v>1242733801.22</v>
      </c>
      <c r="AN17" s="91">
        <v>263126674.31</v>
      </c>
      <c r="AO17" s="91">
        <v>21433129.170000002</v>
      </c>
      <c r="AP17" s="91">
        <v>21218546.010000002</v>
      </c>
      <c r="AQ17" s="91">
        <v>174440649.44999999</v>
      </c>
      <c r="AR17" s="91">
        <v>21625232</v>
      </c>
      <c r="AS17" s="91">
        <v>50390547.469999999</v>
      </c>
      <c r="AT17" s="91">
        <v>6682252196.96</v>
      </c>
      <c r="AU17" s="90" t="s">
        <v>344</v>
      </c>
      <c r="AV17" s="253"/>
      <c r="AW17" s="263"/>
    </row>
    <row r="18" spans="2:49" s="141" customFormat="1" x14ac:dyDescent="0.35">
      <c r="B18" s="234"/>
      <c r="C18" s="250" t="s">
        <v>73</v>
      </c>
      <c r="D18" s="88" t="s">
        <v>313</v>
      </c>
      <c r="E18" s="89">
        <v>25268</v>
      </c>
      <c r="F18" s="89">
        <v>14055</v>
      </c>
      <c r="G18" s="89">
        <v>16163</v>
      </c>
      <c r="H18" s="89">
        <v>92322</v>
      </c>
      <c r="I18" s="89">
        <v>62940</v>
      </c>
      <c r="J18" s="89">
        <v>30655</v>
      </c>
      <c r="K18" s="89">
        <v>90507</v>
      </c>
      <c r="L18" s="89">
        <v>97044</v>
      </c>
      <c r="M18" s="89">
        <v>68488</v>
      </c>
      <c r="N18" s="89">
        <v>208363</v>
      </c>
      <c r="O18" s="89">
        <v>210971</v>
      </c>
      <c r="P18" s="89">
        <v>104599</v>
      </c>
      <c r="Q18" s="89">
        <v>165076</v>
      </c>
      <c r="R18" s="89">
        <v>233976</v>
      </c>
      <c r="S18" s="89">
        <v>74203</v>
      </c>
      <c r="T18" s="89">
        <v>29025</v>
      </c>
      <c r="U18" s="89">
        <v>42965</v>
      </c>
      <c r="V18" s="89">
        <v>102185</v>
      </c>
      <c r="W18" s="89">
        <v>17698</v>
      </c>
      <c r="X18" s="89">
        <v>41431</v>
      </c>
      <c r="Y18" s="89">
        <v>3613</v>
      </c>
      <c r="Z18" s="89">
        <v>16335</v>
      </c>
      <c r="AA18" s="89">
        <v>207013</v>
      </c>
      <c r="AB18" s="89">
        <v>45684</v>
      </c>
      <c r="AC18" s="89">
        <v>18405</v>
      </c>
      <c r="AD18" s="89">
        <v>564456</v>
      </c>
      <c r="AE18" s="89">
        <v>450216</v>
      </c>
      <c r="AF18" s="89">
        <v>21960</v>
      </c>
      <c r="AG18" s="89">
        <v>187384</v>
      </c>
      <c r="AH18" s="89">
        <v>137002</v>
      </c>
      <c r="AI18" s="89">
        <v>54001</v>
      </c>
      <c r="AJ18" s="89">
        <v>22415</v>
      </c>
      <c r="AK18" s="89">
        <v>26898</v>
      </c>
      <c r="AL18" s="89">
        <v>38537</v>
      </c>
      <c r="AM18" s="89">
        <v>566492</v>
      </c>
      <c r="AN18" s="89">
        <v>178699</v>
      </c>
      <c r="AO18" s="89">
        <v>10104</v>
      </c>
      <c r="AP18" s="89">
        <v>14850</v>
      </c>
      <c r="AQ18" s="89">
        <v>101346</v>
      </c>
      <c r="AR18" s="89">
        <v>11976</v>
      </c>
      <c r="AS18" s="89">
        <v>25683</v>
      </c>
      <c r="AT18" s="89">
        <v>4431003</v>
      </c>
      <c r="AU18" s="88" t="s">
        <v>312</v>
      </c>
      <c r="AV18" s="252" t="s">
        <v>89</v>
      </c>
      <c r="AW18" s="263"/>
    </row>
    <row r="19" spans="2:49" s="141" customFormat="1" x14ac:dyDescent="0.35">
      <c r="B19" s="234"/>
      <c r="C19" s="251"/>
      <c r="D19" s="90" t="s">
        <v>345</v>
      </c>
      <c r="E19" s="91">
        <v>22449830.170000002</v>
      </c>
      <c r="F19" s="91">
        <v>15723879.02</v>
      </c>
      <c r="G19" s="91">
        <v>20279555.809999999</v>
      </c>
      <c r="H19" s="91">
        <v>93678058.120000005</v>
      </c>
      <c r="I19" s="91">
        <v>61984939.310000002</v>
      </c>
      <c r="J19" s="91">
        <v>21415248.899999999</v>
      </c>
      <c r="K19" s="91">
        <v>100980837.56999999</v>
      </c>
      <c r="L19" s="91">
        <v>140918184.38</v>
      </c>
      <c r="M19" s="91">
        <v>96087554.379999995</v>
      </c>
      <c r="N19" s="91">
        <v>245501662.38999999</v>
      </c>
      <c r="O19" s="91">
        <v>431638747.41000003</v>
      </c>
      <c r="P19" s="91">
        <v>131282413.81999999</v>
      </c>
      <c r="Q19" s="91">
        <v>234582152.94</v>
      </c>
      <c r="R19" s="91">
        <v>353475261.81999999</v>
      </c>
      <c r="S19" s="91">
        <v>123414358.66</v>
      </c>
      <c r="T19" s="91">
        <v>27279726.16</v>
      </c>
      <c r="U19" s="91">
        <v>43503300.149999999</v>
      </c>
      <c r="V19" s="91">
        <v>87607273.549999997</v>
      </c>
      <c r="W19" s="91">
        <v>35839605.780000001</v>
      </c>
      <c r="X19" s="91">
        <v>74239607.480000004</v>
      </c>
      <c r="Y19" s="91">
        <v>6464815.1799999997</v>
      </c>
      <c r="Z19" s="91">
        <v>27161106.710000001</v>
      </c>
      <c r="AA19" s="91">
        <v>238248432.88</v>
      </c>
      <c r="AB19" s="91">
        <v>34563558.759999998</v>
      </c>
      <c r="AC19" s="91">
        <v>13675719.48</v>
      </c>
      <c r="AD19" s="91">
        <v>1088622011.5899999</v>
      </c>
      <c r="AE19" s="91">
        <v>914139006.69000006</v>
      </c>
      <c r="AF19" s="91">
        <v>13648738.4</v>
      </c>
      <c r="AG19" s="91">
        <v>154238342.33000001</v>
      </c>
      <c r="AH19" s="91">
        <v>107235918.7</v>
      </c>
      <c r="AI19" s="91">
        <v>96685725.159999996</v>
      </c>
      <c r="AJ19" s="91">
        <v>22028513.800000001</v>
      </c>
      <c r="AK19" s="91">
        <v>58328803.259999998</v>
      </c>
      <c r="AL19" s="91">
        <v>74418964.370000005</v>
      </c>
      <c r="AM19" s="91">
        <v>1208653802.8699999</v>
      </c>
      <c r="AN19" s="91">
        <v>161501760.63999999</v>
      </c>
      <c r="AO19" s="91">
        <v>31320823.829999998</v>
      </c>
      <c r="AP19" s="91">
        <v>69430116.079999998</v>
      </c>
      <c r="AQ19" s="91">
        <v>186638564.77000001</v>
      </c>
      <c r="AR19" s="91">
        <v>25939817.719999999</v>
      </c>
      <c r="AS19" s="91">
        <v>55599031.759999998</v>
      </c>
      <c r="AT19" s="91">
        <v>6950425772.8000002</v>
      </c>
      <c r="AU19" s="90" t="s">
        <v>344</v>
      </c>
      <c r="AV19" s="253"/>
      <c r="AW19" s="263"/>
    </row>
    <row r="20" spans="2:49" s="141" customFormat="1" x14ac:dyDescent="0.35">
      <c r="B20" s="234"/>
      <c r="C20" s="250" t="s">
        <v>74</v>
      </c>
      <c r="D20" s="88" t="s">
        <v>313</v>
      </c>
      <c r="E20" s="89">
        <v>68094</v>
      </c>
      <c r="F20" s="89">
        <v>55100</v>
      </c>
      <c r="G20" s="89">
        <v>35550</v>
      </c>
      <c r="H20" s="89">
        <v>144086</v>
      </c>
      <c r="I20" s="89">
        <v>47806</v>
      </c>
      <c r="J20" s="89">
        <v>48156</v>
      </c>
      <c r="K20" s="89">
        <v>193485</v>
      </c>
      <c r="L20" s="89">
        <v>232860</v>
      </c>
      <c r="M20" s="89">
        <v>118311</v>
      </c>
      <c r="N20" s="89">
        <v>223273</v>
      </c>
      <c r="O20" s="89">
        <v>218831</v>
      </c>
      <c r="P20" s="89">
        <v>161858</v>
      </c>
      <c r="Q20" s="89">
        <v>229864</v>
      </c>
      <c r="R20" s="89">
        <v>294253</v>
      </c>
      <c r="S20" s="89">
        <v>110835</v>
      </c>
      <c r="T20" s="89">
        <v>89677</v>
      </c>
      <c r="U20" s="89">
        <v>56305</v>
      </c>
      <c r="V20" s="89">
        <v>273030</v>
      </c>
      <c r="W20" s="89">
        <v>23825</v>
      </c>
      <c r="X20" s="89">
        <v>60032</v>
      </c>
      <c r="Y20" s="89">
        <v>5689</v>
      </c>
      <c r="Z20" s="89">
        <v>26055</v>
      </c>
      <c r="AA20" s="89">
        <v>311566</v>
      </c>
      <c r="AB20" s="89">
        <v>66673</v>
      </c>
      <c r="AC20" s="89">
        <v>43303</v>
      </c>
      <c r="AD20" s="89">
        <v>719018</v>
      </c>
      <c r="AE20" s="89">
        <v>673982</v>
      </c>
      <c r="AF20" s="89">
        <v>29770</v>
      </c>
      <c r="AG20" s="89">
        <v>371284</v>
      </c>
      <c r="AH20" s="89">
        <v>331214</v>
      </c>
      <c r="AI20" s="89">
        <v>63585</v>
      </c>
      <c r="AJ20" s="89">
        <v>17691</v>
      </c>
      <c r="AK20" s="89">
        <v>39148</v>
      </c>
      <c r="AL20" s="89">
        <v>53727</v>
      </c>
      <c r="AM20" s="89">
        <v>709748</v>
      </c>
      <c r="AN20" s="89">
        <v>362997</v>
      </c>
      <c r="AO20" s="89">
        <v>13696</v>
      </c>
      <c r="AP20" s="89">
        <v>18007</v>
      </c>
      <c r="AQ20" s="89">
        <v>108073</v>
      </c>
      <c r="AR20" s="89">
        <v>19706</v>
      </c>
      <c r="AS20" s="89">
        <v>57749</v>
      </c>
      <c r="AT20" s="89">
        <v>6727912</v>
      </c>
      <c r="AU20" s="88" t="s">
        <v>312</v>
      </c>
      <c r="AV20" s="252" t="s">
        <v>90</v>
      </c>
      <c r="AW20" s="263"/>
    </row>
    <row r="21" spans="2:49" s="141" customFormat="1" x14ac:dyDescent="0.35">
      <c r="B21" s="234"/>
      <c r="C21" s="251"/>
      <c r="D21" s="90" t="s">
        <v>345</v>
      </c>
      <c r="E21" s="91">
        <v>78881973.510000005</v>
      </c>
      <c r="F21" s="91">
        <v>77077539.840000004</v>
      </c>
      <c r="G21" s="91">
        <v>52556186.07</v>
      </c>
      <c r="H21" s="91">
        <v>176029782.84999999</v>
      </c>
      <c r="I21" s="91">
        <v>54099884.340000004</v>
      </c>
      <c r="J21" s="91">
        <v>50941235.240000002</v>
      </c>
      <c r="K21" s="91">
        <v>228141454.58000001</v>
      </c>
      <c r="L21" s="91">
        <v>421273931.06999999</v>
      </c>
      <c r="M21" s="91">
        <v>226393007.24000001</v>
      </c>
      <c r="N21" s="91">
        <v>385351512.37</v>
      </c>
      <c r="O21" s="91">
        <v>694319285.07000005</v>
      </c>
      <c r="P21" s="91">
        <v>198283266.22</v>
      </c>
      <c r="Q21" s="91">
        <v>289212589.20999998</v>
      </c>
      <c r="R21" s="91">
        <v>452449097.04000002</v>
      </c>
      <c r="S21" s="91">
        <v>179436882.05000001</v>
      </c>
      <c r="T21" s="91">
        <v>106094455.29000001</v>
      </c>
      <c r="U21" s="91">
        <v>74817096.260000005</v>
      </c>
      <c r="V21" s="91">
        <v>393531167.35000002</v>
      </c>
      <c r="W21" s="91">
        <v>65167327.280000001</v>
      </c>
      <c r="X21" s="91">
        <v>87686775.510000005</v>
      </c>
      <c r="Y21" s="91">
        <v>16463397.52</v>
      </c>
      <c r="Z21" s="91">
        <v>113601203.38</v>
      </c>
      <c r="AA21" s="91">
        <v>422625327.16000003</v>
      </c>
      <c r="AB21" s="91">
        <v>80432103.670000002</v>
      </c>
      <c r="AC21" s="91">
        <v>58498869.659999996</v>
      </c>
      <c r="AD21" s="91">
        <v>1861770739.9200001</v>
      </c>
      <c r="AE21" s="91">
        <v>1197357466.01</v>
      </c>
      <c r="AF21" s="91">
        <v>15503112.029999999</v>
      </c>
      <c r="AG21" s="91">
        <v>445307708.72000003</v>
      </c>
      <c r="AH21" s="91">
        <v>364299309.85000002</v>
      </c>
      <c r="AI21" s="91">
        <v>127603476.22</v>
      </c>
      <c r="AJ21" s="91">
        <v>27026331.77</v>
      </c>
      <c r="AK21" s="91">
        <v>94807994.560000002</v>
      </c>
      <c r="AL21" s="91">
        <v>121677222.64</v>
      </c>
      <c r="AM21" s="91">
        <v>1408951492.79</v>
      </c>
      <c r="AN21" s="91">
        <v>378179738.29000002</v>
      </c>
      <c r="AO21" s="91">
        <v>29676404.510000002</v>
      </c>
      <c r="AP21" s="91">
        <v>40898930.670000002</v>
      </c>
      <c r="AQ21" s="91">
        <v>200469532.81</v>
      </c>
      <c r="AR21" s="91">
        <v>24895690.469999999</v>
      </c>
      <c r="AS21" s="91">
        <v>126017126.20999999</v>
      </c>
      <c r="AT21" s="91">
        <v>11447807627.25</v>
      </c>
      <c r="AU21" s="90" t="s">
        <v>344</v>
      </c>
      <c r="AV21" s="253"/>
      <c r="AW21" s="263"/>
    </row>
    <row r="22" spans="2:49" s="141" customFormat="1" x14ac:dyDescent="0.35">
      <c r="B22" s="234"/>
      <c r="C22" s="250" t="s">
        <v>75</v>
      </c>
      <c r="D22" s="88" t="s">
        <v>313</v>
      </c>
      <c r="E22" s="89">
        <v>43916</v>
      </c>
      <c r="F22" s="89">
        <v>27049</v>
      </c>
      <c r="G22" s="89">
        <v>24937</v>
      </c>
      <c r="H22" s="89">
        <v>93969</v>
      </c>
      <c r="I22" s="89">
        <v>27240</v>
      </c>
      <c r="J22" s="89">
        <v>25614</v>
      </c>
      <c r="K22" s="89">
        <v>94359</v>
      </c>
      <c r="L22" s="89">
        <v>197859</v>
      </c>
      <c r="M22" s="89">
        <v>71346</v>
      </c>
      <c r="N22" s="89">
        <v>192810</v>
      </c>
      <c r="O22" s="89">
        <v>145213</v>
      </c>
      <c r="P22" s="89">
        <v>105547</v>
      </c>
      <c r="Q22" s="89">
        <v>147770</v>
      </c>
      <c r="R22" s="89">
        <v>199537</v>
      </c>
      <c r="S22" s="89">
        <v>76533</v>
      </c>
      <c r="T22" s="89">
        <v>35525</v>
      </c>
      <c r="U22" s="89">
        <v>27340</v>
      </c>
      <c r="V22" s="89">
        <v>151821</v>
      </c>
      <c r="W22" s="89">
        <v>13434</v>
      </c>
      <c r="X22" s="89">
        <v>31085</v>
      </c>
      <c r="Y22" s="89">
        <v>3175</v>
      </c>
      <c r="Z22" s="89">
        <v>11920</v>
      </c>
      <c r="AA22" s="89">
        <v>166347</v>
      </c>
      <c r="AB22" s="89">
        <v>57035</v>
      </c>
      <c r="AC22" s="89">
        <v>14909</v>
      </c>
      <c r="AD22" s="89">
        <v>475103</v>
      </c>
      <c r="AE22" s="89">
        <v>266797</v>
      </c>
      <c r="AF22" s="89">
        <v>23392</v>
      </c>
      <c r="AG22" s="89">
        <v>312610</v>
      </c>
      <c r="AH22" s="89">
        <v>117899</v>
      </c>
      <c r="AI22" s="89">
        <v>30709</v>
      </c>
      <c r="AJ22" s="89">
        <v>13119</v>
      </c>
      <c r="AK22" s="89">
        <v>23883</v>
      </c>
      <c r="AL22" s="89">
        <v>24793</v>
      </c>
      <c r="AM22" s="89">
        <v>519011</v>
      </c>
      <c r="AN22" s="89">
        <v>200244</v>
      </c>
      <c r="AO22" s="89">
        <v>11102</v>
      </c>
      <c r="AP22" s="89">
        <v>12553</v>
      </c>
      <c r="AQ22" s="89">
        <v>79203</v>
      </c>
      <c r="AR22" s="89">
        <v>15949</v>
      </c>
      <c r="AS22" s="89">
        <v>52912</v>
      </c>
      <c r="AT22" s="89">
        <v>4165569</v>
      </c>
      <c r="AU22" s="88" t="s">
        <v>312</v>
      </c>
      <c r="AV22" s="252" t="s">
        <v>91</v>
      </c>
      <c r="AW22" s="263"/>
    </row>
    <row r="23" spans="2:49" s="141" customFormat="1" x14ac:dyDescent="0.35">
      <c r="B23" s="234"/>
      <c r="C23" s="251"/>
      <c r="D23" s="90" t="s">
        <v>345</v>
      </c>
      <c r="E23" s="91">
        <v>53544608.75</v>
      </c>
      <c r="F23" s="91">
        <v>48329945.109999999</v>
      </c>
      <c r="G23" s="91">
        <v>27019300.960000001</v>
      </c>
      <c r="H23" s="91">
        <v>100879810.7</v>
      </c>
      <c r="I23" s="91">
        <v>25075513.600000001</v>
      </c>
      <c r="J23" s="91">
        <v>23221474.329999998</v>
      </c>
      <c r="K23" s="91">
        <v>105755579.73999999</v>
      </c>
      <c r="L23" s="91">
        <v>445673248.56</v>
      </c>
      <c r="M23" s="91">
        <v>108012509.01000001</v>
      </c>
      <c r="N23" s="91">
        <v>323915839.42000002</v>
      </c>
      <c r="O23" s="91">
        <v>431423076.97000003</v>
      </c>
      <c r="P23" s="91">
        <v>155989576.58000001</v>
      </c>
      <c r="Q23" s="91">
        <v>223865259.22999999</v>
      </c>
      <c r="R23" s="91">
        <v>320146211.13</v>
      </c>
      <c r="S23" s="91">
        <v>129884000.37</v>
      </c>
      <c r="T23" s="91">
        <v>35001267.859999999</v>
      </c>
      <c r="U23" s="91">
        <v>32150238.050000001</v>
      </c>
      <c r="V23" s="91">
        <v>227846505.74000001</v>
      </c>
      <c r="W23" s="91">
        <v>21717081.41</v>
      </c>
      <c r="X23" s="91">
        <v>54012819.799999997</v>
      </c>
      <c r="Y23" s="91">
        <v>2911779.95</v>
      </c>
      <c r="Z23" s="91">
        <v>13591958.289999999</v>
      </c>
      <c r="AA23" s="91">
        <v>195958829.84999999</v>
      </c>
      <c r="AB23" s="91">
        <v>77760001.530000001</v>
      </c>
      <c r="AC23" s="91">
        <v>12233450.41</v>
      </c>
      <c r="AD23" s="91">
        <v>948906621</v>
      </c>
      <c r="AE23" s="91">
        <v>458400457.94999999</v>
      </c>
      <c r="AF23" s="91">
        <v>9529139.6799999997</v>
      </c>
      <c r="AG23" s="91">
        <v>340954240.77999997</v>
      </c>
      <c r="AH23" s="91">
        <v>144462444.24000001</v>
      </c>
      <c r="AI23" s="91">
        <v>65805906.219999999</v>
      </c>
      <c r="AJ23" s="91">
        <v>24569879.530000001</v>
      </c>
      <c r="AK23" s="91">
        <v>52579897.640000001</v>
      </c>
      <c r="AL23" s="91">
        <v>49246479.759999998</v>
      </c>
      <c r="AM23" s="91">
        <v>1154488402.1700001</v>
      </c>
      <c r="AN23" s="91">
        <v>202206987.77000001</v>
      </c>
      <c r="AO23" s="91">
        <v>14370639.949999999</v>
      </c>
      <c r="AP23" s="91">
        <v>33174663.27</v>
      </c>
      <c r="AQ23" s="91">
        <v>175275893.02000001</v>
      </c>
      <c r="AR23" s="91">
        <v>14143816.27</v>
      </c>
      <c r="AS23" s="91">
        <v>147071810.31999999</v>
      </c>
      <c r="AT23" s="91">
        <v>7031107166.9200001</v>
      </c>
      <c r="AU23" s="90" t="s">
        <v>344</v>
      </c>
      <c r="AV23" s="253"/>
      <c r="AW23" s="263"/>
    </row>
    <row r="24" spans="2:49" s="141" customFormat="1" x14ac:dyDescent="0.35">
      <c r="B24" s="234"/>
      <c r="C24" s="250" t="s">
        <v>76</v>
      </c>
      <c r="D24" s="88" t="s">
        <v>313</v>
      </c>
      <c r="E24" s="89">
        <v>127393</v>
      </c>
      <c r="F24" s="89">
        <v>44752</v>
      </c>
      <c r="G24" s="89">
        <v>89753</v>
      </c>
      <c r="H24" s="89">
        <v>160627</v>
      </c>
      <c r="I24" s="89">
        <v>57705</v>
      </c>
      <c r="J24" s="89">
        <v>51478</v>
      </c>
      <c r="K24" s="89">
        <v>178907</v>
      </c>
      <c r="L24" s="89">
        <v>454036</v>
      </c>
      <c r="M24" s="89">
        <v>201787</v>
      </c>
      <c r="N24" s="89">
        <v>346423</v>
      </c>
      <c r="O24" s="89">
        <v>231827</v>
      </c>
      <c r="P24" s="89">
        <v>130043</v>
      </c>
      <c r="Q24" s="89">
        <v>200338</v>
      </c>
      <c r="R24" s="89">
        <v>308865</v>
      </c>
      <c r="S24" s="89">
        <v>167021</v>
      </c>
      <c r="T24" s="89">
        <v>79854</v>
      </c>
      <c r="U24" s="89">
        <v>59879</v>
      </c>
      <c r="V24" s="89">
        <v>229562</v>
      </c>
      <c r="W24" s="89">
        <v>27447</v>
      </c>
      <c r="X24" s="89">
        <v>66599</v>
      </c>
      <c r="Y24" s="89">
        <v>5796</v>
      </c>
      <c r="Z24" s="89">
        <v>25541</v>
      </c>
      <c r="AA24" s="89">
        <v>340387</v>
      </c>
      <c r="AB24" s="89">
        <v>73799</v>
      </c>
      <c r="AC24" s="89">
        <v>63582</v>
      </c>
      <c r="AD24" s="89">
        <v>709077</v>
      </c>
      <c r="AE24" s="89">
        <v>524964</v>
      </c>
      <c r="AF24" s="89">
        <v>34344</v>
      </c>
      <c r="AG24" s="89">
        <v>443089</v>
      </c>
      <c r="AH24" s="89">
        <v>258443</v>
      </c>
      <c r="AI24" s="89">
        <v>79675</v>
      </c>
      <c r="AJ24" s="89">
        <v>25128</v>
      </c>
      <c r="AK24" s="89">
        <v>50904</v>
      </c>
      <c r="AL24" s="89">
        <v>52064</v>
      </c>
      <c r="AM24" s="89">
        <v>795853</v>
      </c>
      <c r="AN24" s="89">
        <v>593023</v>
      </c>
      <c r="AO24" s="89">
        <v>15894</v>
      </c>
      <c r="AP24" s="89">
        <v>18672</v>
      </c>
      <c r="AQ24" s="89">
        <v>131354</v>
      </c>
      <c r="AR24" s="89">
        <v>21718</v>
      </c>
      <c r="AS24" s="89">
        <v>55748</v>
      </c>
      <c r="AT24" s="89">
        <v>7533351</v>
      </c>
      <c r="AU24" s="88" t="s">
        <v>312</v>
      </c>
      <c r="AV24" s="252" t="s">
        <v>92</v>
      </c>
      <c r="AW24" s="263"/>
    </row>
    <row r="25" spans="2:49" s="141" customFormat="1" x14ac:dyDescent="0.35">
      <c r="B25" s="234"/>
      <c r="C25" s="251"/>
      <c r="D25" s="90" t="s">
        <v>345</v>
      </c>
      <c r="E25" s="91">
        <v>157858929</v>
      </c>
      <c r="F25" s="91">
        <v>75699133.370000005</v>
      </c>
      <c r="G25" s="91">
        <v>154209410.83000001</v>
      </c>
      <c r="H25" s="91">
        <v>214246049.91</v>
      </c>
      <c r="I25" s="91">
        <v>58464905.409999996</v>
      </c>
      <c r="J25" s="91">
        <v>53525957.43</v>
      </c>
      <c r="K25" s="91">
        <v>207576306.37</v>
      </c>
      <c r="L25" s="91">
        <v>1064756343.61</v>
      </c>
      <c r="M25" s="91">
        <v>431443553.74000001</v>
      </c>
      <c r="N25" s="91">
        <v>586725326.15999997</v>
      </c>
      <c r="O25" s="91">
        <v>761283812.16999996</v>
      </c>
      <c r="P25" s="91">
        <v>148877987.22999999</v>
      </c>
      <c r="Q25" s="91">
        <v>306974674.47000003</v>
      </c>
      <c r="R25" s="91">
        <v>486860033.95999998</v>
      </c>
      <c r="S25" s="91">
        <v>324514108.80000001</v>
      </c>
      <c r="T25" s="91">
        <v>117015100.84999999</v>
      </c>
      <c r="U25" s="91">
        <v>75204991.519999996</v>
      </c>
      <c r="V25" s="91">
        <v>374659165.25</v>
      </c>
      <c r="W25" s="91">
        <v>84585034.030000001</v>
      </c>
      <c r="X25" s="91">
        <v>169592788.41</v>
      </c>
      <c r="Y25" s="91">
        <v>12619334.630000001</v>
      </c>
      <c r="Z25" s="91">
        <v>37846502.359999999</v>
      </c>
      <c r="AA25" s="91">
        <v>441580611.72000003</v>
      </c>
      <c r="AB25" s="91">
        <v>76148046.859999999</v>
      </c>
      <c r="AC25" s="91">
        <v>97606970.379999995</v>
      </c>
      <c r="AD25" s="91">
        <v>1547343694.0699999</v>
      </c>
      <c r="AE25" s="91">
        <v>1302769115.97</v>
      </c>
      <c r="AF25" s="91">
        <v>30769347.350000001</v>
      </c>
      <c r="AG25" s="91">
        <v>545895926.24000001</v>
      </c>
      <c r="AH25" s="91">
        <v>441055834.56</v>
      </c>
      <c r="AI25" s="91">
        <v>139811413.13999999</v>
      </c>
      <c r="AJ25" s="91">
        <v>42355446.759999998</v>
      </c>
      <c r="AK25" s="91">
        <v>122209501.39</v>
      </c>
      <c r="AL25" s="91">
        <v>172685947.97</v>
      </c>
      <c r="AM25" s="91">
        <v>1910156365.26</v>
      </c>
      <c r="AN25" s="91">
        <v>647267471.11000001</v>
      </c>
      <c r="AO25" s="91">
        <v>27279810.41</v>
      </c>
      <c r="AP25" s="91">
        <v>43808728.670000002</v>
      </c>
      <c r="AQ25" s="91">
        <v>230810258.44</v>
      </c>
      <c r="AR25" s="91">
        <v>44560559.159999996</v>
      </c>
      <c r="AS25" s="91">
        <v>148462033.56</v>
      </c>
      <c r="AT25" s="91">
        <v>13917116532.530001</v>
      </c>
      <c r="AU25" s="90" t="s">
        <v>344</v>
      </c>
      <c r="AV25" s="253"/>
      <c r="AW25" s="263"/>
    </row>
    <row r="26" spans="2:49" s="141" customFormat="1" x14ac:dyDescent="0.35">
      <c r="B26" s="234"/>
      <c r="C26" s="250" t="s">
        <v>77</v>
      </c>
      <c r="D26" s="88" t="s">
        <v>313</v>
      </c>
      <c r="E26" s="89">
        <v>62811</v>
      </c>
      <c r="F26" s="89">
        <v>32738</v>
      </c>
      <c r="G26" s="89">
        <v>44116</v>
      </c>
      <c r="H26" s="89">
        <v>108170</v>
      </c>
      <c r="I26" s="89">
        <v>30821</v>
      </c>
      <c r="J26" s="89">
        <v>32370</v>
      </c>
      <c r="K26" s="89">
        <v>115785</v>
      </c>
      <c r="L26" s="89">
        <v>255707</v>
      </c>
      <c r="M26" s="89">
        <v>106223</v>
      </c>
      <c r="N26" s="89">
        <v>230832</v>
      </c>
      <c r="O26" s="89">
        <v>200090</v>
      </c>
      <c r="P26" s="89">
        <v>112173</v>
      </c>
      <c r="Q26" s="89">
        <v>169881</v>
      </c>
      <c r="R26" s="89">
        <v>228668</v>
      </c>
      <c r="S26" s="89">
        <v>75674</v>
      </c>
      <c r="T26" s="89">
        <v>48672</v>
      </c>
      <c r="U26" s="89">
        <v>56314</v>
      </c>
      <c r="V26" s="89">
        <v>166435</v>
      </c>
      <c r="W26" s="89">
        <v>19684</v>
      </c>
      <c r="X26" s="89">
        <v>41858</v>
      </c>
      <c r="Y26" s="89">
        <v>4279</v>
      </c>
      <c r="Z26" s="89">
        <v>15215</v>
      </c>
      <c r="AA26" s="89">
        <v>226920</v>
      </c>
      <c r="AB26" s="89">
        <v>71945</v>
      </c>
      <c r="AC26" s="89">
        <v>11466</v>
      </c>
      <c r="AD26" s="89">
        <v>632719</v>
      </c>
      <c r="AE26" s="89">
        <v>597558</v>
      </c>
      <c r="AF26" s="89">
        <v>24216</v>
      </c>
      <c r="AG26" s="89">
        <v>303082</v>
      </c>
      <c r="AH26" s="89">
        <v>229922</v>
      </c>
      <c r="AI26" s="89">
        <v>63082</v>
      </c>
      <c r="AJ26" s="89">
        <v>26451</v>
      </c>
      <c r="AK26" s="89">
        <v>34027</v>
      </c>
      <c r="AL26" s="89">
        <v>36431</v>
      </c>
      <c r="AM26" s="89">
        <v>677191</v>
      </c>
      <c r="AN26" s="89">
        <v>197446</v>
      </c>
      <c r="AO26" s="89">
        <v>11844</v>
      </c>
      <c r="AP26" s="89">
        <v>14881</v>
      </c>
      <c r="AQ26" s="89">
        <v>106322</v>
      </c>
      <c r="AR26" s="89">
        <v>15314</v>
      </c>
      <c r="AS26" s="89">
        <v>42917</v>
      </c>
      <c r="AT26" s="89">
        <v>5482250</v>
      </c>
      <c r="AU26" s="88" t="s">
        <v>312</v>
      </c>
      <c r="AV26" s="252" t="s">
        <v>93</v>
      </c>
      <c r="AW26" s="263"/>
    </row>
    <row r="27" spans="2:49" s="141" customFormat="1" x14ac:dyDescent="0.35">
      <c r="B27" s="234"/>
      <c r="C27" s="251"/>
      <c r="D27" s="90" t="s">
        <v>345</v>
      </c>
      <c r="E27" s="91">
        <v>71463183.140000001</v>
      </c>
      <c r="F27" s="91">
        <v>47828419.899999999</v>
      </c>
      <c r="G27" s="91">
        <v>68406712.579999998</v>
      </c>
      <c r="H27" s="91">
        <v>135558172.91</v>
      </c>
      <c r="I27" s="91">
        <v>50944530.520000003</v>
      </c>
      <c r="J27" s="91">
        <v>35884903.32</v>
      </c>
      <c r="K27" s="91">
        <v>118515465.39</v>
      </c>
      <c r="L27" s="91">
        <v>522902375.91000003</v>
      </c>
      <c r="M27" s="91">
        <v>172026104.83000001</v>
      </c>
      <c r="N27" s="91">
        <v>369562990.85000002</v>
      </c>
      <c r="O27" s="91">
        <v>520932394.02999997</v>
      </c>
      <c r="P27" s="91">
        <v>114410644.11</v>
      </c>
      <c r="Q27" s="91">
        <v>266117415.18000001</v>
      </c>
      <c r="R27" s="91">
        <v>276052762.13999999</v>
      </c>
      <c r="S27" s="91">
        <v>146879033.55000001</v>
      </c>
      <c r="T27" s="91">
        <v>58634985.479999997</v>
      </c>
      <c r="U27" s="91">
        <v>73419997.719999999</v>
      </c>
      <c r="V27" s="91">
        <v>211508657.56</v>
      </c>
      <c r="W27" s="91">
        <v>45933728.490000002</v>
      </c>
      <c r="X27" s="91">
        <v>53578785.490000002</v>
      </c>
      <c r="Y27" s="91">
        <v>5591902.04</v>
      </c>
      <c r="Z27" s="91">
        <v>27391871.690000001</v>
      </c>
      <c r="AA27" s="91">
        <v>323564695.5</v>
      </c>
      <c r="AB27" s="91">
        <v>61691964.170000002</v>
      </c>
      <c r="AC27" s="91">
        <v>13303828.93</v>
      </c>
      <c r="AD27" s="91">
        <v>1375363552.5899999</v>
      </c>
      <c r="AE27" s="91">
        <v>727881234.86000001</v>
      </c>
      <c r="AF27" s="91">
        <v>14914269.460000001</v>
      </c>
      <c r="AG27" s="91">
        <v>415285675.81</v>
      </c>
      <c r="AH27" s="91">
        <v>181398004.84</v>
      </c>
      <c r="AI27" s="91">
        <v>119068991.13</v>
      </c>
      <c r="AJ27" s="91">
        <v>46917114.770000003</v>
      </c>
      <c r="AK27" s="91">
        <v>62576543.939999998</v>
      </c>
      <c r="AL27" s="91">
        <v>81819834.290000007</v>
      </c>
      <c r="AM27" s="91">
        <v>1407023328.0999999</v>
      </c>
      <c r="AN27" s="91">
        <v>291136923.33999997</v>
      </c>
      <c r="AO27" s="91">
        <v>17844069.899999999</v>
      </c>
      <c r="AP27" s="91">
        <v>29266364.34</v>
      </c>
      <c r="AQ27" s="91">
        <v>212485486.63</v>
      </c>
      <c r="AR27" s="91">
        <v>21291776.52</v>
      </c>
      <c r="AS27" s="91">
        <v>81422662.450000003</v>
      </c>
      <c r="AT27" s="91">
        <v>8877801358.3999996</v>
      </c>
      <c r="AU27" s="90" t="s">
        <v>344</v>
      </c>
      <c r="AV27" s="253"/>
      <c r="AW27" s="263"/>
    </row>
    <row r="28" spans="2:49" s="141" customFormat="1" x14ac:dyDescent="0.35">
      <c r="B28" s="234"/>
      <c r="C28" s="250" t="s">
        <v>78</v>
      </c>
      <c r="D28" s="88" t="s">
        <v>313</v>
      </c>
      <c r="E28" s="89">
        <v>29888</v>
      </c>
      <c r="F28" s="89">
        <v>13268</v>
      </c>
      <c r="G28" s="89">
        <v>13464</v>
      </c>
      <c r="H28" s="89">
        <v>109890</v>
      </c>
      <c r="I28" s="89">
        <v>19767</v>
      </c>
      <c r="J28" s="89">
        <v>26693</v>
      </c>
      <c r="K28" s="89">
        <v>130000</v>
      </c>
      <c r="L28" s="89">
        <v>135368</v>
      </c>
      <c r="M28" s="89">
        <v>43972</v>
      </c>
      <c r="N28" s="89">
        <v>108916</v>
      </c>
      <c r="O28" s="89">
        <v>160893</v>
      </c>
      <c r="P28" s="89">
        <v>104572</v>
      </c>
      <c r="Q28" s="89">
        <v>153722</v>
      </c>
      <c r="R28" s="89">
        <v>187080</v>
      </c>
      <c r="S28" s="89">
        <v>68320</v>
      </c>
      <c r="T28" s="89">
        <v>59700</v>
      </c>
      <c r="U28" s="89">
        <v>59313</v>
      </c>
      <c r="V28" s="89">
        <v>147239</v>
      </c>
      <c r="W28" s="89">
        <v>12660</v>
      </c>
      <c r="X28" s="89">
        <v>38964</v>
      </c>
      <c r="Y28" s="89">
        <v>2932</v>
      </c>
      <c r="Z28" s="89">
        <v>12234</v>
      </c>
      <c r="AA28" s="89">
        <v>205313</v>
      </c>
      <c r="AB28" s="89">
        <v>48942</v>
      </c>
      <c r="AC28" s="89">
        <v>19196</v>
      </c>
      <c r="AD28" s="89">
        <v>451499</v>
      </c>
      <c r="AE28" s="89">
        <v>412541</v>
      </c>
      <c r="AF28" s="89">
        <v>20725</v>
      </c>
      <c r="AG28" s="89">
        <v>178000</v>
      </c>
      <c r="AH28" s="89">
        <v>205665</v>
      </c>
      <c r="AI28" s="89">
        <v>41898</v>
      </c>
      <c r="AJ28" s="89">
        <v>11319</v>
      </c>
      <c r="AK28" s="89">
        <v>24187</v>
      </c>
      <c r="AL28" s="89">
        <v>23989</v>
      </c>
      <c r="AM28" s="89">
        <v>523928</v>
      </c>
      <c r="AN28" s="89">
        <v>239890</v>
      </c>
      <c r="AO28" s="89">
        <v>8517</v>
      </c>
      <c r="AP28" s="89">
        <v>11926</v>
      </c>
      <c r="AQ28" s="89">
        <v>84779</v>
      </c>
      <c r="AR28" s="89">
        <v>10388</v>
      </c>
      <c r="AS28" s="89">
        <v>23740</v>
      </c>
      <c r="AT28" s="89">
        <v>4185297</v>
      </c>
      <c r="AU28" s="88" t="s">
        <v>312</v>
      </c>
      <c r="AV28" s="252" t="s">
        <v>94</v>
      </c>
      <c r="AW28" s="263"/>
    </row>
    <row r="29" spans="2:49" s="141" customFormat="1" x14ac:dyDescent="0.35">
      <c r="B29" s="234"/>
      <c r="C29" s="251"/>
      <c r="D29" s="90" t="s">
        <v>345</v>
      </c>
      <c r="E29" s="91">
        <v>29854601.449999999</v>
      </c>
      <c r="F29" s="91">
        <v>14114865.140000001</v>
      </c>
      <c r="G29" s="91">
        <v>10296951.41</v>
      </c>
      <c r="H29" s="91">
        <v>123168843</v>
      </c>
      <c r="I29" s="91">
        <v>17602235.309999999</v>
      </c>
      <c r="J29" s="91">
        <v>15943469.449999999</v>
      </c>
      <c r="K29" s="91">
        <v>126951696.03</v>
      </c>
      <c r="L29" s="91">
        <v>180821589.81</v>
      </c>
      <c r="M29" s="91">
        <v>72713512.530000001</v>
      </c>
      <c r="N29" s="91">
        <v>107152597.38</v>
      </c>
      <c r="O29" s="91">
        <v>258917570.00999999</v>
      </c>
      <c r="P29" s="91">
        <v>92833699.129999995</v>
      </c>
      <c r="Q29" s="91">
        <v>188807251.38999999</v>
      </c>
      <c r="R29" s="91">
        <v>207050399.49000001</v>
      </c>
      <c r="S29" s="91">
        <v>99738561.230000004</v>
      </c>
      <c r="T29" s="91">
        <v>56070187.090000004</v>
      </c>
      <c r="U29" s="91">
        <v>72317392.189999998</v>
      </c>
      <c r="V29" s="91">
        <v>196963692.96000001</v>
      </c>
      <c r="W29" s="91">
        <v>21946982.789999999</v>
      </c>
      <c r="X29" s="91">
        <v>69963533.599999994</v>
      </c>
      <c r="Y29" s="91">
        <v>3951680.76</v>
      </c>
      <c r="Z29" s="91">
        <v>29164582.800000001</v>
      </c>
      <c r="AA29" s="91">
        <v>268086158</v>
      </c>
      <c r="AB29" s="91">
        <v>71057741.700000003</v>
      </c>
      <c r="AC29" s="91">
        <v>27979649.23</v>
      </c>
      <c r="AD29" s="91">
        <v>938212343.74000001</v>
      </c>
      <c r="AE29" s="91">
        <v>603834745.36000001</v>
      </c>
      <c r="AF29" s="91">
        <v>15204887.91</v>
      </c>
      <c r="AG29" s="91">
        <v>218170748.78</v>
      </c>
      <c r="AH29" s="91">
        <v>193567583.38</v>
      </c>
      <c r="AI29" s="91">
        <v>80639164.310000002</v>
      </c>
      <c r="AJ29" s="91">
        <v>13494318.93</v>
      </c>
      <c r="AK29" s="91">
        <v>49235295.880000003</v>
      </c>
      <c r="AL29" s="91">
        <v>75523308.599999994</v>
      </c>
      <c r="AM29" s="91">
        <v>1114249775.54</v>
      </c>
      <c r="AN29" s="91">
        <v>226511813.47</v>
      </c>
      <c r="AO29" s="91">
        <v>20638224.260000002</v>
      </c>
      <c r="AP29" s="91">
        <v>28645390.98</v>
      </c>
      <c r="AQ29" s="91">
        <v>132309062.31</v>
      </c>
      <c r="AR29" s="91">
        <v>16936370.48</v>
      </c>
      <c r="AS29" s="91">
        <v>54647326.460000001</v>
      </c>
      <c r="AT29" s="91">
        <v>6145289804.2700005</v>
      </c>
      <c r="AU29" s="90" t="s">
        <v>344</v>
      </c>
      <c r="AV29" s="253"/>
      <c r="AW29" s="263"/>
    </row>
    <row r="30" spans="2:49" s="141" customFormat="1" x14ac:dyDescent="0.35">
      <c r="B30" s="234"/>
      <c r="C30" s="250" t="s">
        <v>79</v>
      </c>
      <c r="D30" s="88" t="s">
        <v>313</v>
      </c>
      <c r="E30" s="89">
        <v>42947</v>
      </c>
      <c r="F30" s="89">
        <v>13630</v>
      </c>
      <c r="G30" s="89">
        <v>12399</v>
      </c>
      <c r="H30" s="89">
        <v>158172</v>
      </c>
      <c r="I30" s="89">
        <v>19547</v>
      </c>
      <c r="J30" s="89">
        <v>31007</v>
      </c>
      <c r="K30" s="89">
        <v>71302</v>
      </c>
      <c r="L30" s="89">
        <v>112649</v>
      </c>
      <c r="M30" s="89">
        <v>67286</v>
      </c>
      <c r="N30" s="89">
        <v>140961</v>
      </c>
      <c r="O30" s="89">
        <v>171218</v>
      </c>
      <c r="P30" s="89">
        <v>141718</v>
      </c>
      <c r="Q30" s="89">
        <v>229607</v>
      </c>
      <c r="R30" s="89">
        <v>253512</v>
      </c>
      <c r="S30" s="89">
        <v>134457</v>
      </c>
      <c r="T30" s="89">
        <v>25454</v>
      </c>
      <c r="U30" s="89">
        <v>94012</v>
      </c>
      <c r="V30" s="89">
        <v>168446</v>
      </c>
      <c r="W30" s="89">
        <v>18731</v>
      </c>
      <c r="X30" s="89">
        <v>56786</v>
      </c>
      <c r="Y30" s="89">
        <v>4674</v>
      </c>
      <c r="Z30" s="89">
        <v>21015</v>
      </c>
      <c r="AA30" s="89">
        <v>267516</v>
      </c>
      <c r="AB30" s="89">
        <v>68075</v>
      </c>
      <c r="AC30" s="89">
        <v>25299</v>
      </c>
      <c r="AD30" s="89">
        <v>612033</v>
      </c>
      <c r="AE30" s="89">
        <v>475826</v>
      </c>
      <c r="AF30" s="89">
        <v>25658</v>
      </c>
      <c r="AG30" s="89">
        <v>173523</v>
      </c>
      <c r="AH30" s="89">
        <v>396097</v>
      </c>
      <c r="AI30" s="89">
        <v>76095</v>
      </c>
      <c r="AJ30" s="89">
        <v>6409</v>
      </c>
      <c r="AK30" s="89">
        <v>57254</v>
      </c>
      <c r="AL30" s="89">
        <v>27620</v>
      </c>
      <c r="AM30" s="89">
        <v>753979</v>
      </c>
      <c r="AN30" s="89">
        <v>225739</v>
      </c>
      <c r="AO30" s="89">
        <v>10091</v>
      </c>
      <c r="AP30" s="89">
        <v>15479</v>
      </c>
      <c r="AQ30" s="89">
        <v>153241</v>
      </c>
      <c r="AR30" s="89">
        <v>12755</v>
      </c>
      <c r="AS30" s="89">
        <v>26341</v>
      </c>
      <c r="AT30" s="89">
        <v>5398560</v>
      </c>
      <c r="AU30" s="88" t="s">
        <v>312</v>
      </c>
      <c r="AV30" s="252" t="s">
        <v>95</v>
      </c>
      <c r="AW30" s="263"/>
    </row>
    <row r="31" spans="2:49" s="141" customFormat="1" x14ac:dyDescent="0.35">
      <c r="B31" s="234"/>
      <c r="C31" s="251"/>
      <c r="D31" s="90" t="s">
        <v>345</v>
      </c>
      <c r="E31" s="91">
        <v>44510596.770000003</v>
      </c>
      <c r="F31" s="91">
        <v>13430444.859999999</v>
      </c>
      <c r="G31" s="91">
        <v>14507892.449999999</v>
      </c>
      <c r="H31" s="91">
        <v>127166182.2</v>
      </c>
      <c r="I31" s="91">
        <v>14344335.359999999</v>
      </c>
      <c r="J31" s="91">
        <v>13959852.960000001</v>
      </c>
      <c r="K31" s="91">
        <v>63686123.030000001</v>
      </c>
      <c r="L31" s="91">
        <v>134927930.25999999</v>
      </c>
      <c r="M31" s="91">
        <v>78128920.989999995</v>
      </c>
      <c r="N31" s="91">
        <v>118729779.23</v>
      </c>
      <c r="O31" s="91">
        <v>241745409.19</v>
      </c>
      <c r="P31" s="91">
        <v>161292550.44999999</v>
      </c>
      <c r="Q31" s="91">
        <v>262308838.06</v>
      </c>
      <c r="R31" s="91">
        <v>283121827.42000002</v>
      </c>
      <c r="S31" s="91">
        <v>210713862.86000001</v>
      </c>
      <c r="T31" s="91">
        <v>26161006.02</v>
      </c>
      <c r="U31" s="91">
        <v>92801115.650000006</v>
      </c>
      <c r="V31" s="91">
        <v>148917567.40000001</v>
      </c>
      <c r="W31" s="91">
        <v>51516312.060000002</v>
      </c>
      <c r="X31" s="91">
        <v>103117831.61</v>
      </c>
      <c r="Y31" s="91">
        <v>6717859.9000000004</v>
      </c>
      <c r="Z31" s="91">
        <v>50457799.280000001</v>
      </c>
      <c r="AA31" s="91">
        <v>325265596.91000003</v>
      </c>
      <c r="AB31" s="91">
        <v>43321861.850000001</v>
      </c>
      <c r="AC31" s="91">
        <v>24097249.530000001</v>
      </c>
      <c r="AD31" s="91">
        <v>1068339487.88</v>
      </c>
      <c r="AE31" s="91">
        <v>549119758.55999994</v>
      </c>
      <c r="AF31" s="91">
        <v>19065631.039999999</v>
      </c>
      <c r="AG31" s="91">
        <v>174534852.38999999</v>
      </c>
      <c r="AH31" s="91">
        <v>364921429.08999997</v>
      </c>
      <c r="AI31" s="91">
        <v>600501622.21000004</v>
      </c>
      <c r="AJ31" s="91">
        <v>8517054.8699999992</v>
      </c>
      <c r="AK31" s="91">
        <v>96073698.900000006</v>
      </c>
      <c r="AL31" s="91">
        <v>77374308.439999998</v>
      </c>
      <c r="AM31" s="91">
        <v>1393220432.3900001</v>
      </c>
      <c r="AN31" s="91">
        <v>163982156.05000001</v>
      </c>
      <c r="AO31" s="91">
        <v>9840505.3100000005</v>
      </c>
      <c r="AP31" s="91">
        <v>33809942.590000004</v>
      </c>
      <c r="AQ31" s="91">
        <v>274437883.5</v>
      </c>
      <c r="AR31" s="91">
        <v>12433025.51</v>
      </c>
      <c r="AS31" s="91">
        <v>45309461.840000004</v>
      </c>
      <c r="AT31" s="91">
        <v>7546429996.8699999</v>
      </c>
      <c r="AU31" s="90" t="s">
        <v>344</v>
      </c>
      <c r="AV31" s="253"/>
      <c r="AW31" s="263"/>
    </row>
    <row r="32" spans="2:49" s="141" customFormat="1" x14ac:dyDescent="0.35">
      <c r="B32" s="234"/>
      <c r="C32" s="250" t="s">
        <v>80</v>
      </c>
      <c r="D32" s="88" t="s">
        <v>313</v>
      </c>
      <c r="E32" s="89">
        <v>47383</v>
      </c>
      <c r="F32" s="89">
        <v>14484</v>
      </c>
      <c r="G32" s="89">
        <v>10133</v>
      </c>
      <c r="H32" s="89">
        <v>224739</v>
      </c>
      <c r="I32" s="89">
        <v>40444</v>
      </c>
      <c r="J32" s="89">
        <v>45408</v>
      </c>
      <c r="K32" s="89">
        <v>117576</v>
      </c>
      <c r="L32" s="89">
        <v>140366</v>
      </c>
      <c r="M32" s="89">
        <v>76092</v>
      </c>
      <c r="N32" s="89">
        <v>205745</v>
      </c>
      <c r="O32" s="89">
        <v>199943</v>
      </c>
      <c r="P32" s="89">
        <v>163655</v>
      </c>
      <c r="Q32" s="89">
        <v>302578</v>
      </c>
      <c r="R32" s="89">
        <v>246880</v>
      </c>
      <c r="S32" s="89">
        <v>168147</v>
      </c>
      <c r="T32" s="89">
        <v>64275</v>
      </c>
      <c r="U32" s="89">
        <v>106587</v>
      </c>
      <c r="V32" s="89">
        <v>290719</v>
      </c>
      <c r="W32" s="89">
        <v>23670</v>
      </c>
      <c r="X32" s="89">
        <v>73052</v>
      </c>
      <c r="Y32" s="89">
        <v>5770</v>
      </c>
      <c r="Z32" s="89">
        <v>30474</v>
      </c>
      <c r="AA32" s="89">
        <v>381090</v>
      </c>
      <c r="AB32" s="89">
        <v>83493</v>
      </c>
      <c r="AC32" s="89">
        <v>25860</v>
      </c>
      <c r="AD32" s="89">
        <v>906979</v>
      </c>
      <c r="AE32" s="89">
        <v>574438</v>
      </c>
      <c r="AF32" s="89">
        <v>30786</v>
      </c>
      <c r="AG32" s="89">
        <v>192980</v>
      </c>
      <c r="AH32" s="89">
        <v>147115</v>
      </c>
      <c r="AI32" s="89">
        <v>68593</v>
      </c>
      <c r="AJ32" s="89">
        <v>11629</v>
      </c>
      <c r="AK32" s="89">
        <v>45360</v>
      </c>
      <c r="AL32" s="89">
        <v>38788</v>
      </c>
      <c r="AM32" s="89">
        <v>1090317</v>
      </c>
      <c r="AN32" s="89">
        <v>265059</v>
      </c>
      <c r="AO32" s="89">
        <v>11688</v>
      </c>
      <c r="AP32" s="89">
        <v>19443</v>
      </c>
      <c r="AQ32" s="89">
        <v>179003</v>
      </c>
      <c r="AR32" s="89">
        <v>17314</v>
      </c>
      <c r="AS32" s="89">
        <v>24696</v>
      </c>
      <c r="AT32" s="89">
        <v>6712751</v>
      </c>
      <c r="AU32" s="88" t="s">
        <v>312</v>
      </c>
      <c r="AV32" s="252" t="s">
        <v>96</v>
      </c>
      <c r="AW32" s="263"/>
    </row>
    <row r="33" spans="2:49" s="141" customFormat="1" x14ac:dyDescent="0.35">
      <c r="B33" s="234"/>
      <c r="C33" s="251"/>
      <c r="D33" s="90" t="s">
        <v>345</v>
      </c>
      <c r="E33" s="91">
        <v>45448250.100000001</v>
      </c>
      <c r="F33" s="91">
        <v>13475516.82</v>
      </c>
      <c r="G33" s="91">
        <v>13120623.26</v>
      </c>
      <c r="H33" s="91">
        <v>243037154.56</v>
      </c>
      <c r="I33" s="91">
        <v>36437791.009999998</v>
      </c>
      <c r="J33" s="91">
        <v>26329609.469999999</v>
      </c>
      <c r="K33" s="91">
        <v>121838441.08</v>
      </c>
      <c r="L33" s="91">
        <v>175108158.91</v>
      </c>
      <c r="M33" s="91">
        <v>106828704.29000001</v>
      </c>
      <c r="N33" s="91">
        <v>159056397.59999999</v>
      </c>
      <c r="O33" s="91">
        <v>274752366.93000001</v>
      </c>
      <c r="P33" s="91">
        <v>196837955.71000001</v>
      </c>
      <c r="Q33" s="91">
        <v>376095602.44999999</v>
      </c>
      <c r="R33" s="91">
        <v>290458780.05000001</v>
      </c>
      <c r="S33" s="91">
        <v>252580712.55000001</v>
      </c>
      <c r="T33" s="91">
        <v>61595807.869999997</v>
      </c>
      <c r="U33" s="91">
        <v>99434200.420000002</v>
      </c>
      <c r="V33" s="91">
        <v>290079239.66000003</v>
      </c>
      <c r="W33" s="91">
        <v>63120544.840000004</v>
      </c>
      <c r="X33" s="91">
        <v>112487552.29000001</v>
      </c>
      <c r="Y33" s="91">
        <v>11600424.16</v>
      </c>
      <c r="Z33" s="91">
        <v>75222470.489999995</v>
      </c>
      <c r="AA33" s="91">
        <v>636706482.38</v>
      </c>
      <c r="AB33" s="91">
        <v>103185259.19</v>
      </c>
      <c r="AC33" s="91">
        <v>20056391.850000001</v>
      </c>
      <c r="AD33" s="91">
        <v>2800156104.1599998</v>
      </c>
      <c r="AE33" s="91">
        <v>768908731.54999995</v>
      </c>
      <c r="AF33" s="91">
        <v>18380304.550000001</v>
      </c>
      <c r="AG33" s="91">
        <v>247559050.37</v>
      </c>
      <c r="AH33" s="91">
        <v>147301804.56999999</v>
      </c>
      <c r="AI33" s="91">
        <v>107895169.86</v>
      </c>
      <c r="AJ33" s="91">
        <v>11856580.869999999</v>
      </c>
      <c r="AK33" s="91">
        <v>89532660.390000001</v>
      </c>
      <c r="AL33" s="91">
        <v>78689412.760000005</v>
      </c>
      <c r="AM33" s="91">
        <v>2238191545.5799999</v>
      </c>
      <c r="AN33" s="91">
        <v>257701014.30000001</v>
      </c>
      <c r="AO33" s="91">
        <v>15607863.539999999</v>
      </c>
      <c r="AP33" s="91">
        <v>30434595.73</v>
      </c>
      <c r="AQ33" s="91">
        <v>286002939.24000001</v>
      </c>
      <c r="AR33" s="91">
        <v>27785295.309999999</v>
      </c>
      <c r="AS33" s="91">
        <v>87456424.950000003</v>
      </c>
      <c r="AT33" s="91">
        <v>11018353935.67</v>
      </c>
      <c r="AU33" s="90" t="s">
        <v>344</v>
      </c>
      <c r="AV33" s="253"/>
      <c r="AW33" s="263"/>
    </row>
    <row r="34" spans="2:49" s="141" customFormat="1" x14ac:dyDescent="0.35">
      <c r="B34" s="234"/>
      <c r="C34" s="250" t="s">
        <v>81</v>
      </c>
      <c r="D34" s="88" t="s">
        <v>313</v>
      </c>
      <c r="E34" s="89">
        <v>21330</v>
      </c>
      <c r="F34" s="89">
        <v>3705</v>
      </c>
      <c r="G34" s="89">
        <v>8439</v>
      </c>
      <c r="H34" s="89">
        <v>108258</v>
      </c>
      <c r="I34" s="89">
        <v>19922</v>
      </c>
      <c r="J34" s="89">
        <v>25942</v>
      </c>
      <c r="K34" s="89">
        <v>79065</v>
      </c>
      <c r="L34" s="89">
        <v>78863</v>
      </c>
      <c r="M34" s="89">
        <v>42685</v>
      </c>
      <c r="N34" s="89">
        <v>153601</v>
      </c>
      <c r="O34" s="89">
        <v>179208</v>
      </c>
      <c r="P34" s="89">
        <v>93782</v>
      </c>
      <c r="Q34" s="89">
        <v>220873</v>
      </c>
      <c r="R34" s="89">
        <v>215138</v>
      </c>
      <c r="S34" s="89">
        <v>98318</v>
      </c>
      <c r="T34" s="89">
        <v>31048</v>
      </c>
      <c r="U34" s="89">
        <v>80685</v>
      </c>
      <c r="V34" s="89">
        <v>254780</v>
      </c>
      <c r="W34" s="89">
        <v>12940</v>
      </c>
      <c r="X34" s="89">
        <v>38639</v>
      </c>
      <c r="Y34" s="89">
        <v>3592</v>
      </c>
      <c r="Z34" s="89">
        <v>19744</v>
      </c>
      <c r="AA34" s="89">
        <v>242876</v>
      </c>
      <c r="AB34" s="89">
        <v>53423</v>
      </c>
      <c r="AC34" s="89">
        <v>33332</v>
      </c>
      <c r="AD34" s="89">
        <v>519376</v>
      </c>
      <c r="AE34" s="89">
        <v>383052</v>
      </c>
      <c r="AF34" s="89">
        <v>25834</v>
      </c>
      <c r="AG34" s="89">
        <v>110124</v>
      </c>
      <c r="AH34" s="89">
        <v>109459</v>
      </c>
      <c r="AI34" s="89">
        <v>44829</v>
      </c>
      <c r="AJ34" s="89">
        <v>12296</v>
      </c>
      <c r="AK34" s="89">
        <v>38547</v>
      </c>
      <c r="AL34" s="89">
        <v>15564</v>
      </c>
      <c r="AM34" s="89">
        <v>659846</v>
      </c>
      <c r="AN34" s="89">
        <v>302076</v>
      </c>
      <c r="AO34" s="89">
        <v>7504</v>
      </c>
      <c r="AP34" s="89">
        <v>13896</v>
      </c>
      <c r="AQ34" s="89">
        <v>104887</v>
      </c>
      <c r="AR34" s="89">
        <v>10204</v>
      </c>
      <c r="AS34" s="89">
        <v>15864</v>
      </c>
      <c r="AT34" s="89">
        <v>4493546</v>
      </c>
      <c r="AU34" s="88" t="s">
        <v>312</v>
      </c>
      <c r="AV34" s="252" t="s">
        <v>97</v>
      </c>
      <c r="AW34" s="263"/>
    </row>
    <row r="35" spans="2:49" s="141" customFormat="1" x14ac:dyDescent="0.35">
      <c r="B35" s="235"/>
      <c r="C35" s="251"/>
      <c r="D35" s="90" t="s">
        <v>345</v>
      </c>
      <c r="E35" s="91">
        <v>20493461.809999999</v>
      </c>
      <c r="F35" s="91">
        <v>4604167.92</v>
      </c>
      <c r="G35" s="91">
        <v>10187771.619999999</v>
      </c>
      <c r="H35" s="91">
        <v>108883196.16</v>
      </c>
      <c r="I35" s="91">
        <v>13125671.859999999</v>
      </c>
      <c r="J35" s="91">
        <v>20609616.050000001</v>
      </c>
      <c r="K35" s="91">
        <v>72737165.780000001</v>
      </c>
      <c r="L35" s="91">
        <v>103406401.81</v>
      </c>
      <c r="M35" s="91">
        <v>59728984.509999998</v>
      </c>
      <c r="N35" s="91">
        <v>97519522.700000003</v>
      </c>
      <c r="O35" s="91">
        <v>216773907.90000001</v>
      </c>
      <c r="P35" s="91">
        <v>165044197.91</v>
      </c>
      <c r="Q35" s="91">
        <v>361728998.88</v>
      </c>
      <c r="R35" s="91">
        <v>268627510.74000001</v>
      </c>
      <c r="S35" s="91">
        <v>130046089.56999999</v>
      </c>
      <c r="T35" s="91">
        <v>26888153.199999999</v>
      </c>
      <c r="U35" s="91">
        <v>91842688.900000006</v>
      </c>
      <c r="V35" s="91">
        <v>191801035.47999999</v>
      </c>
      <c r="W35" s="91">
        <v>16579900.449999999</v>
      </c>
      <c r="X35" s="91">
        <v>72945071.579999998</v>
      </c>
      <c r="Y35" s="91">
        <v>3442232.14</v>
      </c>
      <c r="Z35" s="91">
        <v>31469691.809999999</v>
      </c>
      <c r="AA35" s="91">
        <v>277830324.93000001</v>
      </c>
      <c r="AB35" s="91">
        <v>59340693.490000002</v>
      </c>
      <c r="AC35" s="91">
        <v>28913478.960000001</v>
      </c>
      <c r="AD35" s="91">
        <v>1268319188.77</v>
      </c>
      <c r="AE35" s="91">
        <v>476356264.05000001</v>
      </c>
      <c r="AF35" s="91">
        <v>15706977.17</v>
      </c>
      <c r="AG35" s="91">
        <v>120334252.11</v>
      </c>
      <c r="AH35" s="91">
        <v>106648899.81</v>
      </c>
      <c r="AI35" s="91">
        <v>164978542.88999999</v>
      </c>
      <c r="AJ35" s="91">
        <v>11621962.49</v>
      </c>
      <c r="AK35" s="91">
        <v>72670691.010000005</v>
      </c>
      <c r="AL35" s="91">
        <v>18559837.690000001</v>
      </c>
      <c r="AM35" s="91">
        <v>1710943035.98</v>
      </c>
      <c r="AN35" s="91">
        <v>300176434.38999999</v>
      </c>
      <c r="AO35" s="91">
        <v>10328858.390000001</v>
      </c>
      <c r="AP35" s="91">
        <v>20283348.16</v>
      </c>
      <c r="AQ35" s="91">
        <v>148574929.02000001</v>
      </c>
      <c r="AR35" s="91">
        <v>9340748.1600000001</v>
      </c>
      <c r="AS35" s="91">
        <v>29439875.43</v>
      </c>
      <c r="AT35" s="91">
        <v>6938853781.6800003</v>
      </c>
      <c r="AU35" s="90" t="s">
        <v>344</v>
      </c>
      <c r="AV35" s="253"/>
      <c r="AW35" s="264"/>
    </row>
    <row r="36" spans="2:49" s="141" customFormat="1" x14ac:dyDescent="0.35">
      <c r="B36" s="254" t="s">
        <v>82</v>
      </c>
      <c r="C36" s="255"/>
      <c r="D36" s="92" t="s">
        <v>313</v>
      </c>
      <c r="E36" s="93">
        <v>531583</v>
      </c>
      <c r="F36" s="93">
        <v>276058</v>
      </c>
      <c r="G36" s="93">
        <v>292624</v>
      </c>
      <c r="H36" s="93">
        <v>1546554</v>
      </c>
      <c r="I36" s="93">
        <v>431125</v>
      </c>
      <c r="J36" s="93">
        <v>420195</v>
      </c>
      <c r="K36" s="93">
        <v>1370001</v>
      </c>
      <c r="L36" s="93">
        <v>1978252</v>
      </c>
      <c r="M36" s="93">
        <v>979167</v>
      </c>
      <c r="N36" s="93">
        <v>2311273</v>
      </c>
      <c r="O36" s="93">
        <v>2335457</v>
      </c>
      <c r="P36" s="93">
        <v>1458372</v>
      </c>
      <c r="Q36" s="93">
        <v>2387734</v>
      </c>
      <c r="R36" s="93">
        <v>3091336</v>
      </c>
      <c r="S36" s="93">
        <v>1230832</v>
      </c>
      <c r="T36" s="93">
        <v>618810</v>
      </c>
      <c r="U36" s="93">
        <v>821445</v>
      </c>
      <c r="V36" s="93">
        <v>2456724</v>
      </c>
      <c r="W36" s="93">
        <v>219686</v>
      </c>
      <c r="X36" s="93">
        <v>577541</v>
      </c>
      <c r="Y36" s="93">
        <v>50984</v>
      </c>
      <c r="Z36" s="93">
        <v>251012</v>
      </c>
      <c r="AA36" s="93">
        <v>3055283</v>
      </c>
      <c r="AB36" s="93">
        <v>766377</v>
      </c>
      <c r="AC36" s="93">
        <v>292162</v>
      </c>
      <c r="AD36" s="93">
        <v>7417982</v>
      </c>
      <c r="AE36" s="93">
        <v>5612189</v>
      </c>
      <c r="AF36" s="93">
        <v>318634</v>
      </c>
      <c r="AG36" s="93">
        <v>2688269</v>
      </c>
      <c r="AH36" s="93">
        <v>2438432</v>
      </c>
      <c r="AI36" s="93">
        <v>674102</v>
      </c>
      <c r="AJ36" s="93">
        <v>189527</v>
      </c>
      <c r="AK36" s="93">
        <v>463318</v>
      </c>
      <c r="AL36" s="93">
        <v>386343</v>
      </c>
      <c r="AM36" s="93">
        <v>8361090</v>
      </c>
      <c r="AN36" s="93">
        <v>3245247</v>
      </c>
      <c r="AO36" s="93">
        <v>130085</v>
      </c>
      <c r="AP36" s="93">
        <v>180867</v>
      </c>
      <c r="AQ36" s="93">
        <v>1406630</v>
      </c>
      <c r="AR36" s="93">
        <v>178365</v>
      </c>
      <c r="AS36" s="93">
        <v>392231</v>
      </c>
      <c r="AT36" s="93">
        <v>63833898</v>
      </c>
      <c r="AU36" s="92" t="s">
        <v>312</v>
      </c>
      <c r="AV36" s="258" t="s">
        <v>98</v>
      </c>
      <c r="AW36" s="259"/>
    </row>
    <row r="37" spans="2:49" s="141" customFormat="1" x14ac:dyDescent="0.35">
      <c r="B37" s="256"/>
      <c r="C37" s="257"/>
      <c r="D37" s="94" t="s">
        <v>345</v>
      </c>
      <c r="E37" s="95">
        <v>585724227.27999997</v>
      </c>
      <c r="F37" s="95">
        <v>401627539.83999997</v>
      </c>
      <c r="G37" s="95">
        <v>423828057.64999998</v>
      </c>
      <c r="H37" s="95">
        <v>1677094066.9100001</v>
      </c>
      <c r="I37" s="95">
        <v>417592345.39999998</v>
      </c>
      <c r="J37" s="95">
        <v>350833296.88999999</v>
      </c>
      <c r="K37" s="95">
        <v>1431721514.4400001</v>
      </c>
      <c r="L37" s="95">
        <v>3568057023.8000002</v>
      </c>
      <c r="M37" s="95">
        <v>1614932525.8</v>
      </c>
      <c r="N37" s="95">
        <v>3000002419.0900002</v>
      </c>
      <c r="O37" s="95">
        <v>5242756792.3599997</v>
      </c>
      <c r="P37" s="95">
        <v>1791364831.1099999</v>
      </c>
      <c r="Q37" s="95">
        <v>3360008520.4899998</v>
      </c>
      <c r="R37" s="95">
        <v>4244949011.3899999</v>
      </c>
      <c r="S37" s="95">
        <v>1990648051.3599999</v>
      </c>
      <c r="T37" s="95">
        <v>677154608.58000004</v>
      </c>
      <c r="U37" s="95">
        <v>974964020.34000003</v>
      </c>
      <c r="V37" s="95">
        <v>2797927839.8099999</v>
      </c>
      <c r="W37" s="95">
        <v>507215506.35000002</v>
      </c>
      <c r="X37" s="95">
        <v>1014233406.3099999</v>
      </c>
      <c r="Y37" s="95">
        <v>97185424.530000001</v>
      </c>
      <c r="Z37" s="95">
        <v>571083987.65999997</v>
      </c>
      <c r="AA37" s="95">
        <v>3990323885.04</v>
      </c>
      <c r="AB37" s="95">
        <v>824910958.61000001</v>
      </c>
      <c r="AC37" s="95">
        <v>330619412.48000002</v>
      </c>
      <c r="AD37" s="95">
        <v>16292265976.34</v>
      </c>
      <c r="AE37" s="95">
        <v>9103341704.8799992</v>
      </c>
      <c r="AF37" s="95">
        <v>193419547.66</v>
      </c>
      <c r="AG37" s="95">
        <v>3005720582.52</v>
      </c>
      <c r="AH37" s="95">
        <v>2408290384.3200002</v>
      </c>
      <c r="AI37" s="95">
        <v>1816925592.8900001</v>
      </c>
      <c r="AJ37" s="95">
        <v>281425217.38999999</v>
      </c>
      <c r="AK37" s="95">
        <v>897403667.29999995</v>
      </c>
      <c r="AL37" s="95">
        <v>904349429.57000005</v>
      </c>
      <c r="AM37" s="95">
        <v>17816084358.68</v>
      </c>
      <c r="AN37" s="95">
        <v>3292035846.3299999</v>
      </c>
      <c r="AO37" s="95">
        <v>218586801.72</v>
      </c>
      <c r="AP37" s="95">
        <v>426640604.76999998</v>
      </c>
      <c r="AQ37" s="95">
        <v>2460207860.8800001</v>
      </c>
      <c r="AR37" s="95">
        <v>246019146.27000001</v>
      </c>
      <c r="AS37" s="95">
        <v>934637027.57000005</v>
      </c>
      <c r="AT37" s="95">
        <v>102184113022.61</v>
      </c>
      <c r="AU37" s="94" t="s">
        <v>344</v>
      </c>
      <c r="AV37" s="260"/>
      <c r="AW37" s="261"/>
    </row>
    <row r="38" spans="2:49" x14ac:dyDescent="0.35">
      <c r="B38" s="233">
        <v>2022</v>
      </c>
      <c r="C38" s="250" t="s">
        <v>70</v>
      </c>
      <c r="D38" s="88" t="s">
        <v>313</v>
      </c>
      <c r="E38" s="89">
        <v>29595</v>
      </c>
      <c r="F38" s="89">
        <v>8240</v>
      </c>
      <c r="G38" s="89">
        <v>10637</v>
      </c>
      <c r="H38" s="89">
        <v>210484</v>
      </c>
      <c r="I38" s="89">
        <v>35561</v>
      </c>
      <c r="J38" s="89">
        <v>49226</v>
      </c>
      <c r="K38" s="89">
        <v>95231</v>
      </c>
      <c r="L38" s="89">
        <v>139198</v>
      </c>
      <c r="M38" s="89">
        <v>86060</v>
      </c>
      <c r="N38" s="89">
        <v>297631</v>
      </c>
      <c r="O38" s="89">
        <v>318990</v>
      </c>
      <c r="P38" s="89">
        <v>127291</v>
      </c>
      <c r="Q38" s="89">
        <v>334543</v>
      </c>
      <c r="R38" s="89">
        <v>420682</v>
      </c>
      <c r="S38" s="89">
        <v>168849</v>
      </c>
      <c r="T38" s="89">
        <v>54089</v>
      </c>
      <c r="U38" s="89">
        <v>130989</v>
      </c>
      <c r="V38" s="89">
        <v>179697</v>
      </c>
      <c r="W38" s="89">
        <v>25374</v>
      </c>
      <c r="X38" s="89">
        <v>95478</v>
      </c>
      <c r="Y38" s="89">
        <v>7178</v>
      </c>
      <c r="Z38" s="89">
        <v>38197</v>
      </c>
      <c r="AA38" s="89">
        <v>406785</v>
      </c>
      <c r="AB38" s="89">
        <v>78324</v>
      </c>
      <c r="AC38" s="89">
        <v>56858</v>
      </c>
      <c r="AD38" s="89">
        <v>868381</v>
      </c>
      <c r="AE38" s="89">
        <v>707221</v>
      </c>
      <c r="AF38" s="89">
        <v>37878</v>
      </c>
      <c r="AG38" s="89">
        <v>152988</v>
      </c>
      <c r="AH38" s="89">
        <v>318435</v>
      </c>
      <c r="AI38" s="89">
        <v>95617</v>
      </c>
      <c r="AJ38" s="89">
        <v>9959</v>
      </c>
      <c r="AK38" s="89">
        <v>78539</v>
      </c>
      <c r="AL38" s="89">
        <v>45735</v>
      </c>
      <c r="AM38" s="89">
        <v>1020871</v>
      </c>
      <c r="AN38" s="89">
        <v>632174</v>
      </c>
      <c r="AO38" s="89">
        <v>14592</v>
      </c>
      <c r="AP38" s="89">
        <v>24087</v>
      </c>
      <c r="AQ38" s="89">
        <v>219535</v>
      </c>
      <c r="AR38" s="89">
        <v>18260</v>
      </c>
      <c r="AS38" s="89">
        <v>25701</v>
      </c>
      <c r="AT38" s="89">
        <v>7675160</v>
      </c>
      <c r="AU38" s="88" t="s">
        <v>312</v>
      </c>
      <c r="AV38" s="252" t="s">
        <v>86</v>
      </c>
      <c r="AW38" s="262">
        <v>2022</v>
      </c>
    </row>
    <row r="39" spans="2:49" x14ac:dyDescent="0.35">
      <c r="B39" s="234"/>
      <c r="C39" s="251"/>
      <c r="D39" s="90" t="s">
        <v>345</v>
      </c>
      <c r="E39" s="91">
        <v>40888684.369999997</v>
      </c>
      <c r="F39" s="91">
        <v>9297756.8100000005</v>
      </c>
      <c r="G39" s="91">
        <v>9082924.9600000009</v>
      </c>
      <c r="H39" s="91">
        <v>273209190.39999998</v>
      </c>
      <c r="I39" s="91">
        <v>45143698.350000001</v>
      </c>
      <c r="J39" s="91">
        <v>47983312.18</v>
      </c>
      <c r="K39" s="91">
        <v>85408721.159999996</v>
      </c>
      <c r="L39" s="91">
        <v>205314211.47</v>
      </c>
      <c r="M39" s="91">
        <v>100980144.77</v>
      </c>
      <c r="N39" s="91">
        <v>261200671.97999999</v>
      </c>
      <c r="O39" s="91">
        <v>495376268.56999999</v>
      </c>
      <c r="P39" s="91">
        <v>179560890.74000001</v>
      </c>
      <c r="Q39" s="91">
        <v>496637770.58999997</v>
      </c>
      <c r="R39" s="91">
        <v>564598049.08000004</v>
      </c>
      <c r="S39" s="91">
        <v>267134258.56</v>
      </c>
      <c r="T39" s="91">
        <v>40442031.200000003</v>
      </c>
      <c r="U39" s="91">
        <v>168460527.08000001</v>
      </c>
      <c r="V39" s="91">
        <v>172439008.81999999</v>
      </c>
      <c r="W39" s="91">
        <v>93205779.5</v>
      </c>
      <c r="X39" s="91">
        <v>190856421.94999999</v>
      </c>
      <c r="Y39" s="91">
        <v>12998979.130000001</v>
      </c>
      <c r="Z39" s="91">
        <v>77753258.019999996</v>
      </c>
      <c r="AA39" s="91">
        <v>589016735.59000003</v>
      </c>
      <c r="AB39" s="91">
        <v>100538396.75</v>
      </c>
      <c r="AC39" s="91">
        <v>49601379.549999997</v>
      </c>
      <c r="AD39" s="91">
        <v>1800249201.0699999</v>
      </c>
      <c r="AE39" s="91">
        <v>644048266.99000001</v>
      </c>
      <c r="AF39" s="91">
        <v>20290302.07</v>
      </c>
      <c r="AG39" s="91">
        <v>174441829.97999999</v>
      </c>
      <c r="AH39" s="91">
        <v>250834433.36000001</v>
      </c>
      <c r="AI39" s="91">
        <v>191097026.65000001</v>
      </c>
      <c r="AJ39" s="91">
        <v>14076628.210000001</v>
      </c>
      <c r="AK39" s="91">
        <v>155538266.19999999</v>
      </c>
      <c r="AL39" s="91">
        <v>144348320.49000001</v>
      </c>
      <c r="AM39" s="91">
        <v>2158135158.5</v>
      </c>
      <c r="AN39" s="91">
        <v>468207944.42000002</v>
      </c>
      <c r="AO39" s="91">
        <v>63724222.630000003</v>
      </c>
      <c r="AP39" s="91">
        <v>96011176.180000007</v>
      </c>
      <c r="AQ39" s="91">
        <v>431181589.05000001</v>
      </c>
      <c r="AR39" s="91">
        <v>34794748.030000001</v>
      </c>
      <c r="AS39" s="91">
        <v>130900167.59999999</v>
      </c>
      <c r="AT39" s="91">
        <v>11355008353.01</v>
      </c>
      <c r="AU39" s="90" t="s">
        <v>344</v>
      </c>
      <c r="AV39" s="253"/>
      <c r="AW39" s="263"/>
    </row>
    <row r="40" spans="2:49" x14ac:dyDescent="0.35">
      <c r="B40" s="234"/>
      <c r="C40" s="250" t="s">
        <v>71</v>
      </c>
      <c r="D40" s="88" t="s">
        <v>313</v>
      </c>
      <c r="E40" s="89">
        <v>26345</v>
      </c>
      <c r="F40" s="89">
        <v>4197</v>
      </c>
      <c r="G40" s="89">
        <v>7250</v>
      </c>
      <c r="H40" s="89">
        <v>168409</v>
      </c>
      <c r="I40" s="89">
        <v>43678</v>
      </c>
      <c r="J40" s="89">
        <v>41885</v>
      </c>
      <c r="K40" s="89">
        <v>95741</v>
      </c>
      <c r="L40" s="89">
        <v>113187</v>
      </c>
      <c r="M40" s="89">
        <v>72180</v>
      </c>
      <c r="N40" s="89">
        <v>204043</v>
      </c>
      <c r="O40" s="89">
        <v>264231</v>
      </c>
      <c r="P40" s="89">
        <v>124458</v>
      </c>
      <c r="Q40" s="89">
        <v>281423</v>
      </c>
      <c r="R40" s="89">
        <v>374006</v>
      </c>
      <c r="S40" s="89">
        <v>123553</v>
      </c>
      <c r="T40" s="89">
        <v>39793</v>
      </c>
      <c r="U40" s="89">
        <v>86943</v>
      </c>
      <c r="V40" s="89">
        <v>125897</v>
      </c>
      <c r="W40" s="89">
        <v>23461</v>
      </c>
      <c r="X40" s="89">
        <v>76990</v>
      </c>
      <c r="Y40" s="89">
        <v>5635</v>
      </c>
      <c r="Z40" s="89">
        <v>29001</v>
      </c>
      <c r="AA40" s="89">
        <v>327406</v>
      </c>
      <c r="AB40" s="89">
        <v>66891</v>
      </c>
      <c r="AC40" s="89">
        <v>42444</v>
      </c>
      <c r="AD40" s="89">
        <v>704585</v>
      </c>
      <c r="AE40" s="89">
        <v>668093</v>
      </c>
      <c r="AF40" s="89">
        <v>31904</v>
      </c>
      <c r="AG40" s="89">
        <v>141418</v>
      </c>
      <c r="AH40" s="89">
        <v>244593</v>
      </c>
      <c r="AI40" s="89">
        <v>79072</v>
      </c>
      <c r="AJ40" s="89">
        <v>15825</v>
      </c>
      <c r="AK40" s="89">
        <v>49057</v>
      </c>
      <c r="AL40" s="89">
        <v>61316</v>
      </c>
      <c r="AM40" s="89">
        <v>882132</v>
      </c>
      <c r="AN40" s="89">
        <v>582728</v>
      </c>
      <c r="AO40" s="89">
        <v>13069</v>
      </c>
      <c r="AP40" s="89">
        <v>21035</v>
      </c>
      <c r="AQ40" s="89">
        <v>145866</v>
      </c>
      <c r="AR40" s="89">
        <v>15740</v>
      </c>
      <c r="AS40" s="89">
        <v>24458</v>
      </c>
      <c r="AT40" s="89">
        <v>6449938</v>
      </c>
      <c r="AU40" s="88" t="s">
        <v>312</v>
      </c>
      <c r="AV40" s="252" t="s">
        <v>87</v>
      </c>
      <c r="AW40" s="263"/>
    </row>
    <row r="41" spans="2:49" x14ac:dyDescent="0.35">
      <c r="B41" s="234"/>
      <c r="C41" s="251"/>
      <c r="D41" s="90" t="s">
        <v>345</v>
      </c>
      <c r="E41" s="91">
        <v>27595173.48</v>
      </c>
      <c r="F41" s="91">
        <v>4693285.3</v>
      </c>
      <c r="G41" s="91">
        <v>9636290.8900000006</v>
      </c>
      <c r="H41" s="91">
        <v>246729575.15000001</v>
      </c>
      <c r="I41" s="91">
        <v>64413025.969999999</v>
      </c>
      <c r="J41" s="91">
        <v>52117369.490000002</v>
      </c>
      <c r="K41" s="91">
        <v>122721896.52</v>
      </c>
      <c r="L41" s="91">
        <v>144686126.31999999</v>
      </c>
      <c r="M41" s="91">
        <v>96258408.060000002</v>
      </c>
      <c r="N41" s="91">
        <v>169684378.61000001</v>
      </c>
      <c r="O41" s="91">
        <v>223492406.33000001</v>
      </c>
      <c r="P41" s="91">
        <v>115175605.77</v>
      </c>
      <c r="Q41" s="91">
        <v>356022926.10000002</v>
      </c>
      <c r="R41" s="91">
        <v>367491118</v>
      </c>
      <c r="S41" s="91">
        <v>230894988.49000001</v>
      </c>
      <c r="T41" s="91">
        <v>29134516.27</v>
      </c>
      <c r="U41" s="91">
        <v>99600122.670000002</v>
      </c>
      <c r="V41" s="91">
        <v>127757776.41</v>
      </c>
      <c r="W41" s="91">
        <v>58647381.170000002</v>
      </c>
      <c r="X41" s="91">
        <v>140656024.61000001</v>
      </c>
      <c r="Y41" s="91">
        <v>6727283.2699999996</v>
      </c>
      <c r="Z41" s="91">
        <v>66697714.710000001</v>
      </c>
      <c r="AA41" s="91">
        <v>448792583.38999999</v>
      </c>
      <c r="AB41" s="91">
        <v>78141302.510000005</v>
      </c>
      <c r="AC41" s="91">
        <v>31960658.469999999</v>
      </c>
      <c r="AD41" s="91">
        <v>1342460045.28</v>
      </c>
      <c r="AE41" s="91">
        <v>690677154.12</v>
      </c>
      <c r="AF41" s="91">
        <v>23400705.390000001</v>
      </c>
      <c r="AG41" s="91">
        <v>139361931.09999999</v>
      </c>
      <c r="AH41" s="91">
        <v>209411401.71000001</v>
      </c>
      <c r="AI41" s="91">
        <v>173617425.25999999</v>
      </c>
      <c r="AJ41" s="91">
        <v>22958646.440000001</v>
      </c>
      <c r="AK41" s="91">
        <v>144861206.56</v>
      </c>
      <c r="AL41" s="91">
        <v>195574062.56999999</v>
      </c>
      <c r="AM41" s="91">
        <v>1886057274.0799999</v>
      </c>
      <c r="AN41" s="91">
        <v>482292664.81</v>
      </c>
      <c r="AO41" s="91">
        <v>20318037.890000001</v>
      </c>
      <c r="AP41" s="91">
        <v>25228866.800000001</v>
      </c>
      <c r="AQ41" s="91">
        <v>305018822.37</v>
      </c>
      <c r="AR41" s="91">
        <v>52301140.630000003</v>
      </c>
      <c r="AS41" s="91">
        <v>100248950.89</v>
      </c>
      <c r="AT41" s="91">
        <v>9133516273.8600006</v>
      </c>
      <c r="AU41" s="90" t="s">
        <v>344</v>
      </c>
      <c r="AV41" s="253"/>
      <c r="AW41" s="263"/>
    </row>
    <row r="42" spans="2:49" x14ac:dyDescent="0.35">
      <c r="B42" s="234"/>
      <c r="C42" s="250" t="s">
        <v>72</v>
      </c>
      <c r="D42" s="88" t="s">
        <v>313</v>
      </c>
      <c r="E42" s="89">
        <v>31303</v>
      </c>
      <c r="F42" s="89">
        <v>5347</v>
      </c>
      <c r="G42" s="89">
        <v>7078</v>
      </c>
      <c r="H42" s="89">
        <v>131542</v>
      </c>
      <c r="I42" s="89">
        <v>44654</v>
      </c>
      <c r="J42" s="89">
        <v>37006</v>
      </c>
      <c r="K42" s="89">
        <v>138564</v>
      </c>
      <c r="L42" s="89">
        <v>123197</v>
      </c>
      <c r="M42" s="89">
        <v>66667</v>
      </c>
      <c r="N42" s="89">
        <v>171936</v>
      </c>
      <c r="O42" s="89">
        <v>255797</v>
      </c>
      <c r="P42" s="89">
        <v>146158</v>
      </c>
      <c r="Q42" s="89">
        <v>251026</v>
      </c>
      <c r="R42" s="89">
        <v>305980</v>
      </c>
      <c r="S42" s="89">
        <v>142947</v>
      </c>
      <c r="T42" s="89">
        <v>24779</v>
      </c>
      <c r="U42" s="89">
        <v>79019</v>
      </c>
      <c r="V42" s="89">
        <v>79713</v>
      </c>
      <c r="W42" s="89">
        <v>19568</v>
      </c>
      <c r="X42" s="89">
        <v>64667</v>
      </c>
      <c r="Y42" s="89">
        <v>5395</v>
      </c>
      <c r="Z42" s="89">
        <v>23808</v>
      </c>
      <c r="AA42" s="89">
        <v>371343</v>
      </c>
      <c r="AB42" s="89">
        <v>60207</v>
      </c>
      <c r="AC42" s="89">
        <v>32873</v>
      </c>
      <c r="AD42" s="89">
        <v>689898</v>
      </c>
      <c r="AE42" s="89">
        <v>612760</v>
      </c>
      <c r="AF42" s="89">
        <v>30436</v>
      </c>
      <c r="AG42" s="89">
        <v>156802</v>
      </c>
      <c r="AH42" s="89">
        <v>291958</v>
      </c>
      <c r="AI42" s="89">
        <v>56332</v>
      </c>
      <c r="AJ42" s="89">
        <v>6736</v>
      </c>
      <c r="AK42" s="89">
        <v>37830</v>
      </c>
      <c r="AL42" s="89">
        <v>28491</v>
      </c>
      <c r="AM42" s="89">
        <v>854975</v>
      </c>
      <c r="AN42" s="89">
        <v>623704</v>
      </c>
      <c r="AO42" s="89">
        <v>11240</v>
      </c>
      <c r="AP42" s="89">
        <v>17241</v>
      </c>
      <c r="AQ42" s="89">
        <v>127676</v>
      </c>
      <c r="AR42" s="89">
        <v>12865</v>
      </c>
      <c r="AS42" s="89">
        <v>25237</v>
      </c>
      <c r="AT42" s="89">
        <v>6204755</v>
      </c>
      <c r="AU42" s="88" t="s">
        <v>312</v>
      </c>
      <c r="AV42" s="252" t="s">
        <v>88</v>
      </c>
      <c r="AW42" s="263"/>
    </row>
    <row r="43" spans="2:49" x14ac:dyDescent="0.35">
      <c r="B43" s="234"/>
      <c r="C43" s="251"/>
      <c r="D43" s="90" t="s">
        <v>345</v>
      </c>
      <c r="E43" s="91">
        <v>26142869.629999999</v>
      </c>
      <c r="F43" s="91">
        <v>6038936.3300000001</v>
      </c>
      <c r="G43" s="91">
        <v>7177398.8600000003</v>
      </c>
      <c r="H43" s="91">
        <v>137025181.61000001</v>
      </c>
      <c r="I43" s="91">
        <v>30880702.059999999</v>
      </c>
      <c r="J43" s="91">
        <v>31496882.690000001</v>
      </c>
      <c r="K43" s="91">
        <v>115432869.42</v>
      </c>
      <c r="L43" s="91">
        <v>112401936.48</v>
      </c>
      <c r="M43" s="91">
        <v>62165863.420000002</v>
      </c>
      <c r="N43" s="91">
        <v>116824437.2</v>
      </c>
      <c r="O43" s="91">
        <v>226902495.21000001</v>
      </c>
      <c r="P43" s="91">
        <v>162688492.12</v>
      </c>
      <c r="Q43" s="91">
        <v>280716944.72000003</v>
      </c>
      <c r="R43" s="91">
        <v>307978633.27999997</v>
      </c>
      <c r="S43" s="91">
        <v>265821056.43000001</v>
      </c>
      <c r="T43" s="91">
        <v>22482884.879999999</v>
      </c>
      <c r="U43" s="91">
        <v>77285646.129999995</v>
      </c>
      <c r="V43" s="91">
        <v>80351368.959999993</v>
      </c>
      <c r="W43" s="91">
        <v>72013239.700000003</v>
      </c>
      <c r="X43" s="91">
        <v>148091111.69999999</v>
      </c>
      <c r="Y43" s="91">
        <v>11514120.460000001</v>
      </c>
      <c r="Z43" s="91">
        <v>49460490.329999998</v>
      </c>
      <c r="AA43" s="91">
        <v>356553990.42000002</v>
      </c>
      <c r="AB43" s="91">
        <v>91486773.599999994</v>
      </c>
      <c r="AC43" s="91">
        <v>22530820.02</v>
      </c>
      <c r="AD43" s="91">
        <v>1397818882.76</v>
      </c>
      <c r="AE43" s="91">
        <v>696731403.89999998</v>
      </c>
      <c r="AF43" s="91">
        <v>19088394.760000002</v>
      </c>
      <c r="AG43" s="91">
        <v>131279357.26000001</v>
      </c>
      <c r="AH43" s="91">
        <v>291039329.05000001</v>
      </c>
      <c r="AI43" s="91">
        <v>78064987.950000003</v>
      </c>
      <c r="AJ43" s="91">
        <v>6211799.3899999997</v>
      </c>
      <c r="AK43" s="91">
        <v>87004585.799999997</v>
      </c>
      <c r="AL43" s="91">
        <v>107378770.31999999</v>
      </c>
      <c r="AM43" s="91">
        <v>1778836025.8399999</v>
      </c>
      <c r="AN43" s="91">
        <v>484234605.35000002</v>
      </c>
      <c r="AO43" s="91">
        <v>40225720.579999998</v>
      </c>
      <c r="AP43" s="91">
        <v>19309800.620000001</v>
      </c>
      <c r="AQ43" s="91">
        <v>222452422.00999999</v>
      </c>
      <c r="AR43" s="91">
        <v>29895015.359999999</v>
      </c>
      <c r="AS43" s="91">
        <v>84584559.120000005</v>
      </c>
      <c r="AT43" s="91">
        <v>8295620805.7299995</v>
      </c>
      <c r="AU43" s="90" t="s">
        <v>344</v>
      </c>
      <c r="AV43" s="253"/>
      <c r="AW43" s="263"/>
    </row>
    <row r="44" spans="2:49" x14ac:dyDescent="0.35">
      <c r="B44" s="234"/>
      <c r="C44" s="250" t="s">
        <v>73</v>
      </c>
      <c r="D44" s="88" t="s">
        <v>313</v>
      </c>
      <c r="E44" s="89">
        <v>58418</v>
      </c>
      <c r="F44" s="89">
        <v>9535</v>
      </c>
      <c r="G44" s="89">
        <v>10386</v>
      </c>
      <c r="H44" s="89">
        <v>202815</v>
      </c>
      <c r="I44" s="89">
        <v>47001</v>
      </c>
      <c r="J44" s="89">
        <v>49647</v>
      </c>
      <c r="K44" s="89">
        <v>97756</v>
      </c>
      <c r="L44" s="89">
        <v>166754</v>
      </c>
      <c r="M44" s="89">
        <v>111398</v>
      </c>
      <c r="N44" s="89">
        <v>232924</v>
      </c>
      <c r="O44" s="89">
        <v>258099</v>
      </c>
      <c r="P44" s="89">
        <v>81794</v>
      </c>
      <c r="Q44" s="89">
        <v>231458</v>
      </c>
      <c r="R44" s="89">
        <v>307354</v>
      </c>
      <c r="S44" s="89">
        <v>198320</v>
      </c>
      <c r="T44" s="89">
        <v>27166</v>
      </c>
      <c r="U44" s="89">
        <v>97979</v>
      </c>
      <c r="V44" s="89">
        <v>105522</v>
      </c>
      <c r="W44" s="89">
        <v>26958</v>
      </c>
      <c r="X44" s="89">
        <v>82553</v>
      </c>
      <c r="Y44" s="89">
        <v>5890</v>
      </c>
      <c r="Z44" s="89">
        <v>22569</v>
      </c>
      <c r="AA44" s="89">
        <v>627976</v>
      </c>
      <c r="AB44" s="89">
        <v>43553</v>
      </c>
      <c r="AC44" s="89">
        <v>79235</v>
      </c>
      <c r="AD44" s="89">
        <v>887915</v>
      </c>
      <c r="AE44" s="89">
        <v>1643146</v>
      </c>
      <c r="AF44" s="89">
        <v>20289</v>
      </c>
      <c r="AG44" s="89">
        <v>275550</v>
      </c>
      <c r="AH44" s="89">
        <v>536559</v>
      </c>
      <c r="AI44" s="89">
        <v>103372</v>
      </c>
      <c r="AJ44" s="89">
        <v>9126</v>
      </c>
      <c r="AK44" s="89">
        <v>43125</v>
      </c>
      <c r="AL44" s="89">
        <v>32684</v>
      </c>
      <c r="AM44" s="89">
        <v>684715</v>
      </c>
      <c r="AN44" s="89">
        <v>397737</v>
      </c>
      <c r="AO44" s="89">
        <v>12470</v>
      </c>
      <c r="AP44" s="89">
        <v>17358</v>
      </c>
      <c r="AQ44" s="89">
        <v>146558</v>
      </c>
      <c r="AR44" s="89">
        <v>14684</v>
      </c>
      <c r="AS44" s="89">
        <v>27783</v>
      </c>
      <c r="AT44" s="89">
        <v>8036131</v>
      </c>
      <c r="AU44" s="88" t="s">
        <v>312</v>
      </c>
      <c r="AV44" s="252" t="s">
        <v>89</v>
      </c>
      <c r="AW44" s="263"/>
    </row>
    <row r="45" spans="2:49" x14ac:dyDescent="0.35">
      <c r="B45" s="234"/>
      <c r="C45" s="251"/>
      <c r="D45" s="90" t="s">
        <v>345</v>
      </c>
      <c r="E45" s="91">
        <v>44415664.579999998</v>
      </c>
      <c r="F45" s="91">
        <v>8292087.4900000002</v>
      </c>
      <c r="G45" s="91">
        <v>8708970.7200000007</v>
      </c>
      <c r="H45" s="91">
        <v>296573939.17000002</v>
      </c>
      <c r="I45" s="91">
        <v>66946907.149999999</v>
      </c>
      <c r="J45" s="91">
        <v>44036521.109999999</v>
      </c>
      <c r="K45" s="91">
        <v>126728744.81999999</v>
      </c>
      <c r="L45" s="91">
        <v>182155044.08000001</v>
      </c>
      <c r="M45" s="91">
        <v>94839472.140000001</v>
      </c>
      <c r="N45" s="91">
        <v>166424531.63999999</v>
      </c>
      <c r="O45" s="91">
        <v>232527107.19</v>
      </c>
      <c r="P45" s="91">
        <v>78217618.010000005</v>
      </c>
      <c r="Q45" s="91">
        <v>233511593.06</v>
      </c>
      <c r="R45" s="91">
        <v>253334085.61000001</v>
      </c>
      <c r="S45" s="91">
        <v>248338720.72</v>
      </c>
      <c r="T45" s="91">
        <v>19781784.140000001</v>
      </c>
      <c r="U45" s="91">
        <v>92487169.790000007</v>
      </c>
      <c r="V45" s="91">
        <v>97793519.469999999</v>
      </c>
      <c r="W45" s="91">
        <v>56870762.770000003</v>
      </c>
      <c r="X45" s="91">
        <v>127300315.06999999</v>
      </c>
      <c r="Y45" s="91">
        <v>8179258.1299999999</v>
      </c>
      <c r="Z45" s="91">
        <v>61444208.549999997</v>
      </c>
      <c r="AA45" s="91">
        <v>859782489.09000003</v>
      </c>
      <c r="AB45" s="91">
        <v>61264458.329999998</v>
      </c>
      <c r="AC45" s="91">
        <v>54046333.32</v>
      </c>
      <c r="AD45" s="91">
        <v>1639169843.4400001</v>
      </c>
      <c r="AE45" s="91">
        <v>1999114391.8699999</v>
      </c>
      <c r="AF45" s="91">
        <v>13765548.289999999</v>
      </c>
      <c r="AG45" s="91">
        <v>320610589.49000001</v>
      </c>
      <c r="AH45" s="91">
        <v>474911644.92000002</v>
      </c>
      <c r="AI45" s="91">
        <v>159923396.49000001</v>
      </c>
      <c r="AJ45" s="91">
        <v>11058508.699999999</v>
      </c>
      <c r="AK45" s="91">
        <v>99361778.140000001</v>
      </c>
      <c r="AL45" s="91">
        <v>76996473.260000005</v>
      </c>
      <c r="AM45" s="91">
        <v>1083858771.02</v>
      </c>
      <c r="AN45" s="91">
        <v>365791553.49000001</v>
      </c>
      <c r="AO45" s="91">
        <v>18683018.82</v>
      </c>
      <c r="AP45" s="91">
        <v>41032393.590000004</v>
      </c>
      <c r="AQ45" s="91">
        <v>188715696.49000001</v>
      </c>
      <c r="AR45" s="91">
        <v>14604133.880000001</v>
      </c>
      <c r="AS45" s="91">
        <v>83017893.969999999</v>
      </c>
      <c r="AT45" s="91">
        <v>10114616942.01</v>
      </c>
      <c r="AU45" s="90" t="s">
        <v>344</v>
      </c>
      <c r="AV45" s="253"/>
      <c r="AW45" s="263"/>
    </row>
    <row r="46" spans="2:49" x14ac:dyDescent="0.35">
      <c r="B46" s="234"/>
      <c r="C46" s="250" t="s">
        <v>74</v>
      </c>
      <c r="D46" s="88" t="s">
        <v>313</v>
      </c>
      <c r="E46" s="89">
        <v>75497</v>
      </c>
      <c r="F46" s="89">
        <v>8397</v>
      </c>
      <c r="G46" s="89">
        <v>7683</v>
      </c>
      <c r="H46" s="89">
        <v>216365</v>
      </c>
      <c r="I46" s="89">
        <v>41147</v>
      </c>
      <c r="J46" s="89">
        <v>43123</v>
      </c>
      <c r="K46" s="89">
        <v>74508</v>
      </c>
      <c r="L46" s="89">
        <v>210271</v>
      </c>
      <c r="M46" s="89">
        <v>98214</v>
      </c>
      <c r="N46" s="89">
        <v>181624</v>
      </c>
      <c r="O46" s="89">
        <v>262492</v>
      </c>
      <c r="P46" s="89">
        <v>191704</v>
      </c>
      <c r="Q46" s="89">
        <v>338780</v>
      </c>
      <c r="R46" s="89">
        <v>335765</v>
      </c>
      <c r="S46" s="89">
        <v>127794</v>
      </c>
      <c r="T46" s="89">
        <v>37478</v>
      </c>
      <c r="U46" s="89">
        <v>70083</v>
      </c>
      <c r="V46" s="89">
        <v>86363</v>
      </c>
      <c r="W46" s="89">
        <v>22703</v>
      </c>
      <c r="X46" s="89">
        <v>75647</v>
      </c>
      <c r="Y46" s="89">
        <v>6008</v>
      </c>
      <c r="Z46" s="89">
        <v>20198</v>
      </c>
      <c r="AA46" s="89">
        <v>451647</v>
      </c>
      <c r="AB46" s="89">
        <v>71130</v>
      </c>
      <c r="AC46" s="89">
        <v>60794</v>
      </c>
      <c r="AD46" s="89">
        <v>762281</v>
      </c>
      <c r="AE46" s="89">
        <v>646095</v>
      </c>
      <c r="AF46" s="89">
        <v>32115</v>
      </c>
      <c r="AG46" s="89">
        <v>300141</v>
      </c>
      <c r="AH46" s="89">
        <v>331799</v>
      </c>
      <c r="AI46" s="89">
        <v>81262</v>
      </c>
      <c r="AJ46" s="89">
        <v>9387</v>
      </c>
      <c r="AK46" s="89">
        <v>50944</v>
      </c>
      <c r="AL46" s="89">
        <v>47105</v>
      </c>
      <c r="AM46" s="89">
        <v>950052</v>
      </c>
      <c r="AN46" s="89">
        <v>673083</v>
      </c>
      <c r="AO46" s="89">
        <v>14494</v>
      </c>
      <c r="AP46" s="89">
        <v>20715</v>
      </c>
      <c r="AQ46" s="89">
        <v>141160</v>
      </c>
      <c r="AR46" s="89">
        <v>16435</v>
      </c>
      <c r="AS46" s="89">
        <v>53626</v>
      </c>
      <c r="AT46" s="89">
        <v>7246109</v>
      </c>
      <c r="AU46" s="88" t="s">
        <v>312</v>
      </c>
      <c r="AV46" s="252" t="s">
        <v>90</v>
      </c>
      <c r="AW46" s="263"/>
    </row>
    <row r="47" spans="2:49" x14ac:dyDescent="0.35">
      <c r="B47" s="234"/>
      <c r="C47" s="251"/>
      <c r="D47" s="90" t="s">
        <v>345</v>
      </c>
      <c r="E47" s="91">
        <v>52876624.969999999</v>
      </c>
      <c r="F47" s="91">
        <v>9952834.7300000004</v>
      </c>
      <c r="G47" s="91">
        <v>5989474.79</v>
      </c>
      <c r="H47" s="91">
        <v>213750177.12</v>
      </c>
      <c r="I47" s="91">
        <v>27789361.350000001</v>
      </c>
      <c r="J47" s="91">
        <v>30593769.579999998</v>
      </c>
      <c r="K47" s="91">
        <v>68261607.890000001</v>
      </c>
      <c r="L47" s="91">
        <v>326864660.48000002</v>
      </c>
      <c r="M47" s="91">
        <v>93894550.200000003</v>
      </c>
      <c r="N47" s="91">
        <v>148347542.31999999</v>
      </c>
      <c r="O47" s="91">
        <v>311631874.55000001</v>
      </c>
      <c r="P47" s="91">
        <v>234345065.24000001</v>
      </c>
      <c r="Q47" s="91">
        <v>411168019.55000001</v>
      </c>
      <c r="R47" s="91">
        <v>295791160.88999999</v>
      </c>
      <c r="S47" s="91">
        <v>243716424.03999999</v>
      </c>
      <c r="T47" s="91">
        <v>39215780.100000001</v>
      </c>
      <c r="U47" s="91">
        <v>59920955.18</v>
      </c>
      <c r="V47" s="91">
        <v>83352688.090000004</v>
      </c>
      <c r="W47" s="91">
        <v>84814309.519999996</v>
      </c>
      <c r="X47" s="91">
        <v>164930337.59</v>
      </c>
      <c r="Y47" s="91">
        <v>5070459.3499999996</v>
      </c>
      <c r="Z47" s="91">
        <v>61980883.119999997</v>
      </c>
      <c r="AA47" s="91">
        <v>453784347.94999999</v>
      </c>
      <c r="AB47" s="91">
        <v>79182565.909999996</v>
      </c>
      <c r="AC47" s="91">
        <v>39021066.479999997</v>
      </c>
      <c r="AD47" s="91">
        <v>1699715652.1600001</v>
      </c>
      <c r="AE47" s="91">
        <v>564280229.03999996</v>
      </c>
      <c r="AF47" s="91">
        <v>19144929.879999999</v>
      </c>
      <c r="AG47" s="91">
        <v>234069670.03999999</v>
      </c>
      <c r="AH47" s="91">
        <v>208892375.16</v>
      </c>
      <c r="AI47" s="91">
        <v>119437661.54000001</v>
      </c>
      <c r="AJ47" s="91">
        <v>13752423.15</v>
      </c>
      <c r="AK47" s="91">
        <v>92267355.150000006</v>
      </c>
      <c r="AL47" s="91">
        <v>117507196.75</v>
      </c>
      <c r="AM47" s="91">
        <v>1921970416.75</v>
      </c>
      <c r="AN47" s="91">
        <v>419734694.85000002</v>
      </c>
      <c r="AO47" s="91">
        <v>21692283.780000001</v>
      </c>
      <c r="AP47" s="91">
        <v>84976161.060000002</v>
      </c>
      <c r="AQ47" s="91">
        <v>248979026.62</v>
      </c>
      <c r="AR47" s="91">
        <v>39991616.909999996</v>
      </c>
      <c r="AS47" s="91">
        <v>172878849.81</v>
      </c>
      <c r="AT47" s="91">
        <v>9525537083.6399994</v>
      </c>
      <c r="AU47" s="90" t="s">
        <v>344</v>
      </c>
      <c r="AV47" s="253"/>
      <c r="AW47" s="263"/>
    </row>
    <row r="48" spans="2:49" x14ac:dyDescent="0.35">
      <c r="B48" s="234"/>
      <c r="C48" s="250" t="s">
        <v>75</v>
      </c>
      <c r="D48" s="88" t="s">
        <v>313</v>
      </c>
      <c r="E48" s="89">
        <v>25712</v>
      </c>
      <c r="F48" s="89">
        <v>1219</v>
      </c>
      <c r="G48" s="89">
        <v>2167</v>
      </c>
      <c r="H48" s="89">
        <v>148255</v>
      </c>
      <c r="I48" s="89">
        <v>10338</v>
      </c>
      <c r="J48" s="89">
        <v>23697</v>
      </c>
      <c r="K48" s="89">
        <v>50094</v>
      </c>
      <c r="L48" s="89">
        <v>129808</v>
      </c>
      <c r="M48" s="89">
        <v>52354</v>
      </c>
      <c r="N48" s="89">
        <v>86301</v>
      </c>
      <c r="O48" s="89">
        <v>188702</v>
      </c>
      <c r="P48" s="89">
        <v>90758</v>
      </c>
      <c r="Q48" s="89">
        <v>165937</v>
      </c>
      <c r="R48" s="89">
        <v>187044</v>
      </c>
      <c r="S48" s="89">
        <v>77397</v>
      </c>
      <c r="T48" s="89">
        <v>21120</v>
      </c>
      <c r="U48" s="89">
        <v>35441</v>
      </c>
      <c r="V48" s="89">
        <v>61877</v>
      </c>
      <c r="W48" s="89">
        <v>13265</v>
      </c>
      <c r="X48" s="89">
        <v>58699</v>
      </c>
      <c r="Y48" s="89">
        <v>3784</v>
      </c>
      <c r="Z48" s="89">
        <v>11101</v>
      </c>
      <c r="AA48" s="89">
        <v>214743</v>
      </c>
      <c r="AB48" s="89">
        <v>38459</v>
      </c>
      <c r="AC48" s="89">
        <v>14899</v>
      </c>
      <c r="AD48" s="89">
        <v>470460</v>
      </c>
      <c r="AE48" s="89">
        <v>364576</v>
      </c>
      <c r="AF48" s="89">
        <v>20343</v>
      </c>
      <c r="AG48" s="89">
        <v>149640</v>
      </c>
      <c r="AH48" s="89">
        <v>184716</v>
      </c>
      <c r="AI48" s="89">
        <v>46071</v>
      </c>
      <c r="AJ48" s="89">
        <v>6752</v>
      </c>
      <c r="AK48" s="89">
        <v>27344</v>
      </c>
      <c r="AL48" s="89">
        <v>17763</v>
      </c>
      <c r="AM48" s="89">
        <v>612895</v>
      </c>
      <c r="AN48" s="89">
        <v>260899</v>
      </c>
      <c r="AO48" s="89">
        <v>8605</v>
      </c>
      <c r="AP48" s="89">
        <v>12782</v>
      </c>
      <c r="AQ48" s="89">
        <v>94655</v>
      </c>
      <c r="AR48" s="89">
        <v>9979</v>
      </c>
      <c r="AS48" s="89">
        <v>32136</v>
      </c>
      <c r="AT48" s="89">
        <v>4032787</v>
      </c>
      <c r="AU48" s="88" t="s">
        <v>312</v>
      </c>
      <c r="AV48" s="252" t="s">
        <v>91</v>
      </c>
      <c r="AW48" s="263"/>
    </row>
    <row r="49" spans="2:49" x14ac:dyDescent="0.35">
      <c r="B49" s="234"/>
      <c r="C49" s="251"/>
      <c r="D49" s="90" t="s">
        <v>345</v>
      </c>
      <c r="E49" s="91">
        <v>20443599.710000001</v>
      </c>
      <c r="F49" s="91">
        <v>1733805.04</v>
      </c>
      <c r="G49" s="91">
        <v>3717772.22</v>
      </c>
      <c r="H49" s="91">
        <v>206657109.94</v>
      </c>
      <c r="I49" s="91">
        <v>17929739.100000001</v>
      </c>
      <c r="J49" s="91">
        <v>32664621.989999998</v>
      </c>
      <c r="K49" s="91">
        <v>73126469.090000004</v>
      </c>
      <c r="L49" s="91">
        <v>212347435.28999999</v>
      </c>
      <c r="M49" s="91">
        <v>46141012.689999998</v>
      </c>
      <c r="N49" s="91">
        <v>87110360.530000001</v>
      </c>
      <c r="O49" s="91">
        <v>208082213.81999999</v>
      </c>
      <c r="P49" s="91">
        <v>106034078.15000001</v>
      </c>
      <c r="Q49" s="91">
        <v>264019319.5</v>
      </c>
      <c r="R49" s="91">
        <v>209365444.62</v>
      </c>
      <c r="S49" s="91">
        <v>199163648.37</v>
      </c>
      <c r="T49" s="91">
        <v>22635208.010000002</v>
      </c>
      <c r="U49" s="91">
        <v>62238663.380000003</v>
      </c>
      <c r="V49" s="91">
        <v>67509850.900000006</v>
      </c>
      <c r="W49" s="91">
        <v>50676356.130000003</v>
      </c>
      <c r="X49" s="91">
        <v>174929001.47999999</v>
      </c>
      <c r="Y49" s="91">
        <v>5943668.4699999997</v>
      </c>
      <c r="Z49" s="91">
        <v>38748544.789999999</v>
      </c>
      <c r="AA49" s="91">
        <v>268356511.00999999</v>
      </c>
      <c r="AB49" s="91">
        <v>73439511.439999998</v>
      </c>
      <c r="AC49" s="91">
        <v>19370608.670000002</v>
      </c>
      <c r="AD49" s="91">
        <v>950852161.92999995</v>
      </c>
      <c r="AE49" s="91">
        <v>298053155.35000002</v>
      </c>
      <c r="AF49" s="91">
        <v>14499545.550000001</v>
      </c>
      <c r="AG49" s="91">
        <v>134443549.93000001</v>
      </c>
      <c r="AH49" s="91">
        <v>127548825.13</v>
      </c>
      <c r="AI49" s="91">
        <v>115126061.03</v>
      </c>
      <c r="AJ49" s="91">
        <v>11391522.720000001</v>
      </c>
      <c r="AK49" s="91">
        <v>60616284.530000001</v>
      </c>
      <c r="AL49" s="91">
        <v>71276341.870000005</v>
      </c>
      <c r="AM49" s="91">
        <v>1099960780.23</v>
      </c>
      <c r="AN49" s="91">
        <v>212331334.16</v>
      </c>
      <c r="AO49" s="91">
        <v>20007684.920000002</v>
      </c>
      <c r="AP49" s="91">
        <v>44292030.159999996</v>
      </c>
      <c r="AQ49" s="91">
        <v>233683879.02000001</v>
      </c>
      <c r="AR49" s="91">
        <v>34747377.770000003</v>
      </c>
      <c r="AS49" s="91">
        <v>99938709.890000001</v>
      </c>
      <c r="AT49" s="91">
        <v>6001153798.5299997</v>
      </c>
      <c r="AU49" s="90" t="s">
        <v>344</v>
      </c>
      <c r="AV49" s="253"/>
      <c r="AW49" s="263"/>
    </row>
    <row r="50" spans="2:49" x14ac:dyDescent="0.35">
      <c r="B50" s="234"/>
      <c r="C50" s="250" t="s">
        <v>76</v>
      </c>
      <c r="D50" s="88" t="s">
        <v>313</v>
      </c>
      <c r="E50" s="89">
        <v>305238</v>
      </c>
      <c r="F50" s="89">
        <v>44790</v>
      </c>
      <c r="G50" s="89">
        <v>63815</v>
      </c>
      <c r="H50" s="89">
        <v>277756</v>
      </c>
      <c r="I50" s="89">
        <v>38803</v>
      </c>
      <c r="J50" s="89">
        <v>61880</v>
      </c>
      <c r="K50" s="89">
        <v>162716</v>
      </c>
      <c r="L50" s="89">
        <v>640648</v>
      </c>
      <c r="M50" s="89">
        <v>300300</v>
      </c>
      <c r="N50" s="89">
        <v>553690</v>
      </c>
      <c r="O50" s="89">
        <v>290293</v>
      </c>
      <c r="P50" s="89">
        <v>145354</v>
      </c>
      <c r="Q50" s="89">
        <v>296218</v>
      </c>
      <c r="R50" s="89">
        <v>414146</v>
      </c>
      <c r="S50" s="89">
        <v>324245</v>
      </c>
      <c r="T50" s="89">
        <v>54836</v>
      </c>
      <c r="U50" s="89">
        <v>102254</v>
      </c>
      <c r="V50" s="89">
        <v>158806</v>
      </c>
      <c r="W50" s="89">
        <v>35307</v>
      </c>
      <c r="X50" s="89">
        <v>120488</v>
      </c>
      <c r="Y50" s="89">
        <v>9870</v>
      </c>
      <c r="Z50" s="89">
        <v>31242</v>
      </c>
      <c r="AA50" s="89">
        <v>674417</v>
      </c>
      <c r="AB50" s="89">
        <v>72462</v>
      </c>
      <c r="AC50" s="89">
        <v>111331</v>
      </c>
      <c r="AD50" s="89">
        <v>852722</v>
      </c>
      <c r="AE50" s="89">
        <v>1097012</v>
      </c>
      <c r="AF50" s="89">
        <v>33626</v>
      </c>
      <c r="AG50" s="89">
        <v>529964</v>
      </c>
      <c r="AH50" s="89">
        <v>509441</v>
      </c>
      <c r="AI50" s="89">
        <v>159072</v>
      </c>
      <c r="AJ50" s="89">
        <v>24846</v>
      </c>
      <c r="AK50" s="89">
        <v>80183</v>
      </c>
      <c r="AL50" s="89">
        <v>54720</v>
      </c>
      <c r="AM50" s="89">
        <v>1037325</v>
      </c>
      <c r="AN50" s="89">
        <v>764511</v>
      </c>
      <c r="AO50" s="89">
        <v>18164</v>
      </c>
      <c r="AP50" s="89">
        <v>22865</v>
      </c>
      <c r="AQ50" s="89">
        <v>234912</v>
      </c>
      <c r="AR50" s="89">
        <v>19635</v>
      </c>
      <c r="AS50" s="89">
        <v>65651</v>
      </c>
      <c r="AT50" s="89">
        <v>10795554</v>
      </c>
      <c r="AU50" s="88" t="s">
        <v>312</v>
      </c>
      <c r="AV50" s="252" t="s">
        <v>92</v>
      </c>
      <c r="AW50" s="263"/>
    </row>
    <row r="51" spans="2:49" x14ac:dyDescent="0.35">
      <c r="B51" s="234"/>
      <c r="C51" s="251"/>
      <c r="D51" s="90" t="s">
        <v>345</v>
      </c>
      <c r="E51" s="91">
        <v>295308036.94</v>
      </c>
      <c r="F51" s="91">
        <v>47283990.609999999</v>
      </c>
      <c r="G51" s="91">
        <v>73895480.810000002</v>
      </c>
      <c r="H51" s="91">
        <v>310914304.89999998</v>
      </c>
      <c r="I51" s="91">
        <v>32228983.68</v>
      </c>
      <c r="J51" s="91">
        <v>73182071.019999996</v>
      </c>
      <c r="K51" s="91">
        <v>132350169.69</v>
      </c>
      <c r="L51" s="91">
        <v>1207031062.3699999</v>
      </c>
      <c r="M51" s="91">
        <v>447473726.14999998</v>
      </c>
      <c r="N51" s="91">
        <v>770937212.65999997</v>
      </c>
      <c r="O51" s="91">
        <v>311263466.92000002</v>
      </c>
      <c r="P51" s="91">
        <v>167033419.03999999</v>
      </c>
      <c r="Q51" s="91">
        <v>337841304.11000001</v>
      </c>
      <c r="R51" s="91">
        <v>487798004.47000003</v>
      </c>
      <c r="S51" s="91">
        <v>859467796.42999995</v>
      </c>
      <c r="T51" s="91">
        <v>69103912.180000007</v>
      </c>
      <c r="U51" s="91">
        <v>124556142.18000001</v>
      </c>
      <c r="V51" s="91">
        <v>162447571.97999999</v>
      </c>
      <c r="W51" s="91">
        <v>164991554.53999999</v>
      </c>
      <c r="X51" s="91">
        <v>286082966.22000003</v>
      </c>
      <c r="Y51" s="91">
        <v>7720120.8700000001</v>
      </c>
      <c r="Z51" s="91">
        <v>87665130</v>
      </c>
      <c r="AA51" s="91">
        <v>949643875.32000005</v>
      </c>
      <c r="AB51" s="91">
        <v>98941250.209999993</v>
      </c>
      <c r="AC51" s="91">
        <v>89832471</v>
      </c>
      <c r="AD51" s="91">
        <v>2180951990.5</v>
      </c>
      <c r="AE51" s="91">
        <v>2207999420.02</v>
      </c>
      <c r="AF51" s="91">
        <v>17097170.52</v>
      </c>
      <c r="AG51" s="91">
        <v>708933135.13999999</v>
      </c>
      <c r="AH51" s="91">
        <v>410159450.17000002</v>
      </c>
      <c r="AI51" s="91">
        <v>392098648.38999999</v>
      </c>
      <c r="AJ51" s="91">
        <v>26153964.739999998</v>
      </c>
      <c r="AK51" s="91">
        <v>248147581.46000001</v>
      </c>
      <c r="AL51" s="91">
        <v>245538761.61000001</v>
      </c>
      <c r="AM51" s="91">
        <v>2138526961.95</v>
      </c>
      <c r="AN51" s="91">
        <v>610341846.40999997</v>
      </c>
      <c r="AO51" s="91">
        <v>23445899.73</v>
      </c>
      <c r="AP51" s="91">
        <v>111047164.28</v>
      </c>
      <c r="AQ51" s="91">
        <v>416770359.95999998</v>
      </c>
      <c r="AR51" s="91">
        <v>42050449.210000001</v>
      </c>
      <c r="AS51" s="91">
        <v>282527312.31999999</v>
      </c>
      <c r="AT51" s="91">
        <v>17656784140.709999</v>
      </c>
      <c r="AU51" s="90" t="s">
        <v>344</v>
      </c>
      <c r="AV51" s="253"/>
      <c r="AW51" s="263"/>
    </row>
    <row r="52" spans="2:49" x14ac:dyDescent="0.35">
      <c r="B52" s="234"/>
      <c r="C52" s="250" t="s">
        <v>77</v>
      </c>
      <c r="D52" s="88" t="s">
        <v>313</v>
      </c>
      <c r="E52" s="89">
        <v>133398</v>
      </c>
      <c r="F52" s="89">
        <v>9622</v>
      </c>
      <c r="G52" s="89">
        <v>14016</v>
      </c>
      <c r="H52" s="89">
        <v>161062</v>
      </c>
      <c r="I52" s="89">
        <v>24657</v>
      </c>
      <c r="J52" s="89">
        <v>37542</v>
      </c>
      <c r="K52" s="89">
        <v>50926</v>
      </c>
      <c r="L52" s="89">
        <v>382725</v>
      </c>
      <c r="M52" s="89">
        <v>145798</v>
      </c>
      <c r="N52" s="89">
        <v>214285</v>
      </c>
      <c r="O52" s="89">
        <v>221605</v>
      </c>
      <c r="P52" s="89">
        <v>105966</v>
      </c>
      <c r="Q52" s="89">
        <v>209395</v>
      </c>
      <c r="R52" s="89">
        <v>336733</v>
      </c>
      <c r="S52" s="89">
        <v>145977</v>
      </c>
      <c r="T52" s="89">
        <v>23946</v>
      </c>
      <c r="U52" s="89">
        <v>86742</v>
      </c>
      <c r="V52" s="89">
        <v>108974</v>
      </c>
      <c r="W52" s="89">
        <v>23258</v>
      </c>
      <c r="X52" s="89">
        <v>104228</v>
      </c>
      <c r="Y52" s="89">
        <v>6084</v>
      </c>
      <c r="Z52" s="89">
        <v>16893</v>
      </c>
      <c r="AA52" s="89">
        <v>416638</v>
      </c>
      <c r="AB52" s="89">
        <v>66198</v>
      </c>
      <c r="AC52" s="89">
        <v>39694</v>
      </c>
      <c r="AD52" s="89">
        <v>718522</v>
      </c>
      <c r="AE52" s="89">
        <v>653937</v>
      </c>
      <c r="AF52" s="89">
        <v>25493</v>
      </c>
      <c r="AG52" s="89">
        <v>433391</v>
      </c>
      <c r="AH52" s="89">
        <v>135515</v>
      </c>
      <c r="AI52" s="89">
        <v>93129</v>
      </c>
      <c r="AJ52" s="89">
        <v>29762</v>
      </c>
      <c r="AK52" s="89">
        <v>44362</v>
      </c>
      <c r="AL52" s="89">
        <v>38121</v>
      </c>
      <c r="AM52" s="89">
        <v>912140</v>
      </c>
      <c r="AN52" s="89">
        <v>591240</v>
      </c>
      <c r="AO52" s="89">
        <v>11693</v>
      </c>
      <c r="AP52" s="89">
        <v>15371</v>
      </c>
      <c r="AQ52" s="89">
        <v>154229</v>
      </c>
      <c r="AR52" s="89">
        <v>14271</v>
      </c>
      <c r="AS52" s="89">
        <v>50900</v>
      </c>
      <c r="AT52" s="89">
        <v>7008438</v>
      </c>
      <c r="AU52" s="88" t="s">
        <v>312</v>
      </c>
      <c r="AV52" s="252" t="s">
        <v>93</v>
      </c>
      <c r="AW52" s="263"/>
    </row>
    <row r="53" spans="2:49" x14ac:dyDescent="0.35">
      <c r="B53" s="234"/>
      <c r="C53" s="251"/>
      <c r="D53" s="90" t="s">
        <v>345</v>
      </c>
      <c r="E53" s="91">
        <v>146012823.06</v>
      </c>
      <c r="F53" s="91">
        <v>9272119.5899999999</v>
      </c>
      <c r="G53" s="91">
        <v>15035896.220000001</v>
      </c>
      <c r="H53" s="91">
        <v>241690217.75</v>
      </c>
      <c r="I53" s="91">
        <v>26362999.300000001</v>
      </c>
      <c r="J53" s="91">
        <v>56112943.450000003</v>
      </c>
      <c r="K53" s="91">
        <v>46930066.640000001</v>
      </c>
      <c r="L53" s="91">
        <v>612241455.60000002</v>
      </c>
      <c r="M53" s="91">
        <v>155293810.28</v>
      </c>
      <c r="N53" s="91">
        <v>222484116.77000001</v>
      </c>
      <c r="O53" s="91">
        <v>279044541.32999998</v>
      </c>
      <c r="P53" s="91">
        <v>117264302.16</v>
      </c>
      <c r="Q53" s="91">
        <v>260744369.49000001</v>
      </c>
      <c r="R53" s="91">
        <v>398060202.44999999</v>
      </c>
      <c r="S53" s="91">
        <v>733645182.19000006</v>
      </c>
      <c r="T53" s="91">
        <v>18136713.850000001</v>
      </c>
      <c r="U53" s="91">
        <v>97950742.730000004</v>
      </c>
      <c r="V53" s="91">
        <v>88852545.189999998</v>
      </c>
      <c r="W53" s="91">
        <v>144001986.75</v>
      </c>
      <c r="X53" s="91">
        <v>248079559.41999999</v>
      </c>
      <c r="Y53" s="91">
        <v>9115360.5800000001</v>
      </c>
      <c r="Z53" s="91">
        <v>20428175.260000002</v>
      </c>
      <c r="AA53" s="91">
        <v>609115245.26999998</v>
      </c>
      <c r="AB53" s="91">
        <v>49945570.159999996</v>
      </c>
      <c r="AC53" s="91">
        <v>33010096.789999999</v>
      </c>
      <c r="AD53" s="91">
        <v>1489947507.74</v>
      </c>
      <c r="AE53" s="91">
        <v>798006913.79999995</v>
      </c>
      <c r="AF53" s="91">
        <v>16919013.760000002</v>
      </c>
      <c r="AG53" s="91">
        <v>479336215.11000001</v>
      </c>
      <c r="AH53" s="91">
        <v>107029422.8</v>
      </c>
      <c r="AI53" s="91">
        <v>168000859.63999999</v>
      </c>
      <c r="AJ53" s="91">
        <v>25996322.949999999</v>
      </c>
      <c r="AK53" s="91">
        <v>145250896.65000001</v>
      </c>
      <c r="AL53" s="91">
        <v>190456143.65000001</v>
      </c>
      <c r="AM53" s="91">
        <v>2171250612.9400001</v>
      </c>
      <c r="AN53" s="91">
        <v>578983756.63</v>
      </c>
      <c r="AO53" s="91">
        <v>8951963.1300000008</v>
      </c>
      <c r="AP53" s="91">
        <v>26511448.149999999</v>
      </c>
      <c r="AQ53" s="91">
        <v>241974581.78999999</v>
      </c>
      <c r="AR53" s="91">
        <v>26136123.530000001</v>
      </c>
      <c r="AS53" s="91">
        <v>118603135.38</v>
      </c>
      <c r="AT53" s="91">
        <v>11232185959.93</v>
      </c>
      <c r="AU53" s="90" t="s">
        <v>344</v>
      </c>
      <c r="AV53" s="253"/>
      <c r="AW53" s="263"/>
    </row>
    <row r="54" spans="2:49" x14ac:dyDescent="0.35">
      <c r="B54" s="234"/>
      <c r="C54" s="250" t="s">
        <v>78</v>
      </c>
      <c r="D54" s="88" t="s">
        <v>313</v>
      </c>
      <c r="E54" s="89">
        <v>28659</v>
      </c>
      <c r="F54" s="89">
        <v>3855</v>
      </c>
      <c r="G54" s="89">
        <v>1906</v>
      </c>
      <c r="H54" s="89">
        <v>147173</v>
      </c>
      <c r="I54" s="89">
        <v>54918</v>
      </c>
      <c r="J54" s="89">
        <v>30536</v>
      </c>
      <c r="K54" s="89">
        <v>46520</v>
      </c>
      <c r="L54" s="89">
        <v>105403</v>
      </c>
      <c r="M54" s="89">
        <v>52574</v>
      </c>
      <c r="N54" s="89">
        <v>95471</v>
      </c>
      <c r="O54" s="89">
        <v>161155</v>
      </c>
      <c r="P54" s="89">
        <v>98816</v>
      </c>
      <c r="Q54" s="89">
        <v>200161</v>
      </c>
      <c r="R54" s="89">
        <v>210265</v>
      </c>
      <c r="S54" s="89">
        <v>102781</v>
      </c>
      <c r="T54" s="89">
        <v>14205</v>
      </c>
      <c r="U54" s="89">
        <v>60205</v>
      </c>
      <c r="V54" s="89">
        <v>60229</v>
      </c>
      <c r="W54" s="89">
        <v>14360</v>
      </c>
      <c r="X54" s="89">
        <v>43533</v>
      </c>
      <c r="Y54" s="89">
        <v>3868</v>
      </c>
      <c r="Z54" s="89">
        <v>13856</v>
      </c>
      <c r="AA54" s="89">
        <v>263457</v>
      </c>
      <c r="AB54" s="89">
        <v>44898</v>
      </c>
      <c r="AC54" s="89">
        <v>22541</v>
      </c>
      <c r="AD54" s="89">
        <v>464540</v>
      </c>
      <c r="AE54" s="89">
        <v>406583</v>
      </c>
      <c r="AF54" s="89">
        <v>23278</v>
      </c>
      <c r="AG54" s="89">
        <v>166383</v>
      </c>
      <c r="AH54" s="89">
        <v>108644</v>
      </c>
      <c r="AI54" s="89">
        <v>46520</v>
      </c>
      <c r="AJ54" s="89">
        <v>1508</v>
      </c>
      <c r="AK54" s="89">
        <v>34677</v>
      </c>
      <c r="AL54" s="89">
        <v>25661</v>
      </c>
      <c r="AM54" s="89">
        <v>651511</v>
      </c>
      <c r="AN54" s="89">
        <v>239701</v>
      </c>
      <c r="AO54" s="89">
        <v>8879</v>
      </c>
      <c r="AP54" s="89">
        <v>13901</v>
      </c>
      <c r="AQ54" s="89">
        <v>87179</v>
      </c>
      <c r="AR54" s="89">
        <v>10655</v>
      </c>
      <c r="AS54" s="89">
        <v>25074</v>
      </c>
      <c r="AT54" s="89">
        <v>4196039</v>
      </c>
      <c r="AU54" s="88" t="s">
        <v>312</v>
      </c>
      <c r="AV54" s="252" t="s">
        <v>94</v>
      </c>
      <c r="AW54" s="263"/>
    </row>
    <row r="55" spans="2:49" x14ac:dyDescent="0.35">
      <c r="B55" s="234"/>
      <c r="C55" s="251"/>
      <c r="D55" s="90" t="s">
        <v>345</v>
      </c>
      <c r="E55" s="91">
        <v>28015893.129999999</v>
      </c>
      <c r="F55" s="91">
        <v>5234656.9400000004</v>
      </c>
      <c r="G55" s="91">
        <v>1578184.4</v>
      </c>
      <c r="H55" s="91">
        <v>206247595.72</v>
      </c>
      <c r="I55" s="91">
        <v>37984032.200000003</v>
      </c>
      <c r="J55" s="91">
        <v>29780596.579999998</v>
      </c>
      <c r="K55" s="91">
        <v>43259641.329999998</v>
      </c>
      <c r="L55" s="91">
        <v>126603114.64</v>
      </c>
      <c r="M55" s="91">
        <v>47514558.020000003</v>
      </c>
      <c r="N55" s="91">
        <v>80323630.75</v>
      </c>
      <c r="O55" s="91">
        <v>197034999.28999999</v>
      </c>
      <c r="P55" s="91">
        <v>106524129.02</v>
      </c>
      <c r="Q55" s="91">
        <v>233962752.08000001</v>
      </c>
      <c r="R55" s="91">
        <v>194460361.72999999</v>
      </c>
      <c r="S55" s="91">
        <v>155759868.22999999</v>
      </c>
      <c r="T55" s="91">
        <v>11907357.25</v>
      </c>
      <c r="U55" s="91">
        <v>65803662.100000001</v>
      </c>
      <c r="V55" s="91">
        <v>64092559.020000003</v>
      </c>
      <c r="W55" s="91">
        <v>30058785.539999999</v>
      </c>
      <c r="X55" s="91">
        <v>60001027.189999998</v>
      </c>
      <c r="Y55" s="91">
        <v>5134148.4400000004</v>
      </c>
      <c r="Z55" s="91">
        <v>17321979.960000001</v>
      </c>
      <c r="AA55" s="91">
        <v>270333474.77999997</v>
      </c>
      <c r="AB55" s="91">
        <v>38324002.799999997</v>
      </c>
      <c r="AC55" s="91">
        <v>18686134.670000002</v>
      </c>
      <c r="AD55" s="91">
        <v>719547162.73000002</v>
      </c>
      <c r="AE55" s="91">
        <v>398249570.25999999</v>
      </c>
      <c r="AF55" s="91">
        <v>14079931.74</v>
      </c>
      <c r="AG55" s="91">
        <v>138096401.88</v>
      </c>
      <c r="AH55" s="91">
        <v>72465963.859999999</v>
      </c>
      <c r="AI55" s="91">
        <v>53664833.710000001</v>
      </c>
      <c r="AJ55" s="91">
        <v>2645675.09</v>
      </c>
      <c r="AK55" s="91">
        <v>64598424.310000002</v>
      </c>
      <c r="AL55" s="91">
        <v>36144209.200000003</v>
      </c>
      <c r="AM55" s="91">
        <v>1198876211.53</v>
      </c>
      <c r="AN55" s="91">
        <v>229817750.24000001</v>
      </c>
      <c r="AO55" s="91">
        <v>7608194.46</v>
      </c>
      <c r="AP55" s="91">
        <v>6945632.7699999996</v>
      </c>
      <c r="AQ55" s="91">
        <v>186252010.81</v>
      </c>
      <c r="AR55" s="91">
        <v>9974530.0700000003</v>
      </c>
      <c r="AS55" s="91">
        <v>17359224.93</v>
      </c>
      <c r="AT55" s="91">
        <v>5232272873.3999996</v>
      </c>
      <c r="AU55" s="90" t="s">
        <v>344</v>
      </c>
      <c r="AV55" s="253"/>
      <c r="AW55" s="263"/>
    </row>
    <row r="56" spans="2:49" x14ac:dyDescent="0.35">
      <c r="B56" s="234"/>
      <c r="C56" s="250" t="s">
        <v>79</v>
      </c>
      <c r="D56" s="88" t="s">
        <v>313</v>
      </c>
      <c r="E56" s="89">
        <v>27417</v>
      </c>
      <c r="F56" s="89">
        <v>960</v>
      </c>
      <c r="G56" s="89">
        <v>3560</v>
      </c>
      <c r="H56" s="89">
        <v>144870</v>
      </c>
      <c r="I56" s="89">
        <v>3401</v>
      </c>
      <c r="J56" s="89">
        <v>31780</v>
      </c>
      <c r="K56" s="89">
        <v>9023</v>
      </c>
      <c r="L56" s="89">
        <v>100381</v>
      </c>
      <c r="M56" s="89">
        <v>66408</v>
      </c>
      <c r="N56" s="89">
        <v>125583</v>
      </c>
      <c r="O56" s="89">
        <v>168180</v>
      </c>
      <c r="P56" s="89">
        <v>122328</v>
      </c>
      <c r="Q56" s="89">
        <v>306848</v>
      </c>
      <c r="R56" s="89">
        <v>270675</v>
      </c>
      <c r="S56" s="89">
        <v>93589</v>
      </c>
      <c r="T56" s="89">
        <v>13427</v>
      </c>
      <c r="U56" s="89">
        <v>137004</v>
      </c>
      <c r="V56" s="89">
        <v>90952</v>
      </c>
      <c r="W56" s="89">
        <v>19825</v>
      </c>
      <c r="X56" s="89">
        <v>78072</v>
      </c>
      <c r="Y56" s="89">
        <v>5102</v>
      </c>
      <c r="Z56" s="89">
        <v>19520</v>
      </c>
      <c r="AA56" s="89">
        <v>272718</v>
      </c>
      <c r="AB56" s="89">
        <v>56207</v>
      </c>
      <c r="AC56" s="89">
        <v>11930</v>
      </c>
      <c r="AD56" s="89">
        <v>554653</v>
      </c>
      <c r="AE56" s="89">
        <v>383923</v>
      </c>
      <c r="AF56" s="89">
        <v>24451</v>
      </c>
      <c r="AG56" s="89">
        <v>141482</v>
      </c>
      <c r="AH56" s="89">
        <v>80523</v>
      </c>
      <c r="AI56" s="89">
        <v>66078</v>
      </c>
      <c r="AJ56" s="89">
        <v>15067</v>
      </c>
      <c r="AK56" s="89">
        <v>39568</v>
      </c>
      <c r="AL56" s="89">
        <v>26558</v>
      </c>
      <c r="AM56" s="89">
        <v>873058</v>
      </c>
      <c r="AN56" s="89">
        <v>276083</v>
      </c>
      <c r="AO56" s="89">
        <v>10317</v>
      </c>
      <c r="AP56" s="89">
        <v>17511</v>
      </c>
      <c r="AQ56" s="89">
        <v>113394</v>
      </c>
      <c r="AR56" s="89">
        <v>12195</v>
      </c>
      <c r="AS56" s="89">
        <v>23565</v>
      </c>
      <c r="AT56" s="89">
        <v>4838186</v>
      </c>
      <c r="AU56" s="88" t="s">
        <v>312</v>
      </c>
      <c r="AV56" s="252" t="s">
        <v>95</v>
      </c>
      <c r="AW56" s="263"/>
    </row>
    <row r="57" spans="2:49" x14ac:dyDescent="0.35">
      <c r="B57" s="234"/>
      <c r="C57" s="251"/>
      <c r="D57" s="90" t="s">
        <v>345</v>
      </c>
      <c r="E57" s="91">
        <v>34661876.93</v>
      </c>
      <c r="F57" s="91">
        <v>1601809.9</v>
      </c>
      <c r="G57" s="91">
        <v>4490443.2300000004</v>
      </c>
      <c r="H57" s="91">
        <v>150096124.88999999</v>
      </c>
      <c r="I57" s="91">
        <v>3013570.99</v>
      </c>
      <c r="J57" s="91">
        <v>31017675.140000001</v>
      </c>
      <c r="K57" s="91">
        <v>15780898.869999999</v>
      </c>
      <c r="L57" s="91">
        <v>96206090.849999994</v>
      </c>
      <c r="M57" s="91">
        <v>62807484.409999996</v>
      </c>
      <c r="N57" s="91">
        <v>101229352.52</v>
      </c>
      <c r="O57" s="91">
        <v>177782878.08000001</v>
      </c>
      <c r="P57" s="91">
        <v>136067637.59999999</v>
      </c>
      <c r="Q57" s="91">
        <v>342856022.05000001</v>
      </c>
      <c r="R57" s="91">
        <v>287262681.97000003</v>
      </c>
      <c r="S57" s="91">
        <v>140075409.30000001</v>
      </c>
      <c r="T57" s="91">
        <v>7941534.4299999997</v>
      </c>
      <c r="U57" s="91">
        <v>85917510.379999995</v>
      </c>
      <c r="V57" s="91">
        <v>76366777.129999995</v>
      </c>
      <c r="W57" s="91">
        <v>29431787.02</v>
      </c>
      <c r="X57" s="91">
        <v>73792544.170000002</v>
      </c>
      <c r="Y57" s="91">
        <v>2321676.85</v>
      </c>
      <c r="Z57" s="91">
        <v>25905385.379999999</v>
      </c>
      <c r="AA57" s="91">
        <v>274951431.12</v>
      </c>
      <c r="AB57" s="91">
        <v>49534927.399999999</v>
      </c>
      <c r="AC57" s="91">
        <v>5877329.4699999997</v>
      </c>
      <c r="AD57" s="91">
        <v>746954701.20000005</v>
      </c>
      <c r="AE57" s="91">
        <v>404105419.26999998</v>
      </c>
      <c r="AF57" s="91">
        <v>10722314.939999999</v>
      </c>
      <c r="AG57" s="91">
        <v>107744868.98</v>
      </c>
      <c r="AH57" s="91">
        <v>51773675.859999999</v>
      </c>
      <c r="AI57" s="91">
        <v>92693108.340000004</v>
      </c>
      <c r="AJ57" s="91">
        <v>31566650.859999999</v>
      </c>
      <c r="AK57" s="91">
        <v>64831954.420000002</v>
      </c>
      <c r="AL57" s="91">
        <v>30008300.120000001</v>
      </c>
      <c r="AM57" s="91">
        <v>1455269013.1800001</v>
      </c>
      <c r="AN57" s="91">
        <v>281808943</v>
      </c>
      <c r="AO57" s="91">
        <v>21359527.149999999</v>
      </c>
      <c r="AP57" s="91">
        <v>32591861.039999999</v>
      </c>
      <c r="AQ57" s="91">
        <v>317786144.47000003</v>
      </c>
      <c r="AR57" s="91">
        <v>9582365.9000000004</v>
      </c>
      <c r="AS57" s="91">
        <v>68254443.849999994</v>
      </c>
      <c r="AT57" s="91">
        <v>5944044152.6599998</v>
      </c>
      <c r="AU57" s="90" t="s">
        <v>344</v>
      </c>
      <c r="AV57" s="253"/>
      <c r="AW57" s="263"/>
    </row>
    <row r="58" spans="2:49" x14ac:dyDescent="0.35">
      <c r="B58" s="234"/>
      <c r="C58" s="250" t="s">
        <v>80</v>
      </c>
      <c r="D58" s="88" t="s">
        <v>313</v>
      </c>
      <c r="E58" s="89">
        <v>25191</v>
      </c>
      <c r="F58" s="89">
        <v>2890</v>
      </c>
      <c r="G58" s="89">
        <v>6552</v>
      </c>
      <c r="H58" s="89">
        <v>317032</v>
      </c>
      <c r="I58" s="89">
        <v>22334</v>
      </c>
      <c r="J58" s="89">
        <v>54025</v>
      </c>
      <c r="K58" s="89">
        <v>21892</v>
      </c>
      <c r="L58" s="89">
        <v>119941</v>
      </c>
      <c r="M58" s="89">
        <v>79032</v>
      </c>
      <c r="N58" s="89">
        <v>195000</v>
      </c>
      <c r="O58" s="89">
        <v>189097</v>
      </c>
      <c r="P58" s="89">
        <v>160481</v>
      </c>
      <c r="Q58" s="89">
        <v>392256</v>
      </c>
      <c r="R58" s="89">
        <v>316431</v>
      </c>
      <c r="S58" s="89">
        <v>188020</v>
      </c>
      <c r="T58" s="89">
        <v>15045</v>
      </c>
      <c r="U58" s="89">
        <v>142451</v>
      </c>
      <c r="V58" s="89">
        <v>162116</v>
      </c>
      <c r="W58" s="89">
        <v>24857</v>
      </c>
      <c r="X58" s="89">
        <v>72676</v>
      </c>
      <c r="Y58" s="89">
        <v>7987</v>
      </c>
      <c r="Z58" s="89">
        <v>33578</v>
      </c>
      <c r="AA58" s="89">
        <v>420827</v>
      </c>
      <c r="AB58" s="89">
        <v>71667</v>
      </c>
      <c r="AC58" s="89">
        <v>3479</v>
      </c>
      <c r="AD58" s="89">
        <v>800569</v>
      </c>
      <c r="AE58" s="89">
        <v>616159</v>
      </c>
      <c r="AF58" s="89">
        <v>33662</v>
      </c>
      <c r="AG58" s="89">
        <v>188777</v>
      </c>
      <c r="AH58" s="89">
        <v>272031</v>
      </c>
      <c r="AI58" s="89">
        <v>74979</v>
      </c>
      <c r="AJ58" s="89">
        <v>26691</v>
      </c>
      <c r="AK58" s="89">
        <v>62175</v>
      </c>
      <c r="AL58" s="89">
        <v>34234</v>
      </c>
      <c r="AM58" s="89">
        <v>1222256</v>
      </c>
      <c r="AN58" s="89">
        <v>421535</v>
      </c>
      <c r="AO58" s="89">
        <v>12938</v>
      </c>
      <c r="AP58" s="89">
        <v>19655</v>
      </c>
      <c r="AQ58" s="89">
        <v>128094</v>
      </c>
      <c r="AR58" s="89">
        <v>17806</v>
      </c>
      <c r="AS58" s="89">
        <v>26731</v>
      </c>
      <c r="AT58" s="89">
        <v>7003149</v>
      </c>
      <c r="AU58" s="88" t="s">
        <v>312</v>
      </c>
      <c r="AV58" s="252" t="s">
        <v>96</v>
      </c>
      <c r="AW58" s="263"/>
    </row>
    <row r="59" spans="2:49" x14ac:dyDescent="0.35">
      <c r="B59" s="234"/>
      <c r="C59" s="251"/>
      <c r="D59" s="90" t="s">
        <v>345</v>
      </c>
      <c r="E59" s="91">
        <v>21410561.16</v>
      </c>
      <c r="F59" s="91">
        <v>2702175.37</v>
      </c>
      <c r="G59" s="91">
        <v>4150203.94</v>
      </c>
      <c r="H59" s="91">
        <v>264537745.27000001</v>
      </c>
      <c r="I59" s="91">
        <v>15383652.43</v>
      </c>
      <c r="J59" s="91">
        <v>37822915.810000002</v>
      </c>
      <c r="K59" s="91">
        <v>16413115.640000001</v>
      </c>
      <c r="L59" s="91">
        <v>110754530.22</v>
      </c>
      <c r="M59" s="91">
        <v>73343351.090000004</v>
      </c>
      <c r="N59" s="91">
        <v>114520785.26000001</v>
      </c>
      <c r="O59" s="91">
        <v>306633428.20999998</v>
      </c>
      <c r="P59" s="91">
        <v>178813271.80000001</v>
      </c>
      <c r="Q59" s="91">
        <v>575950791.74000001</v>
      </c>
      <c r="R59" s="91">
        <v>320817011.08999997</v>
      </c>
      <c r="S59" s="91">
        <v>209273423.87</v>
      </c>
      <c r="T59" s="91">
        <v>10132379.960000001</v>
      </c>
      <c r="U59" s="91">
        <v>97852038.200000003</v>
      </c>
      <c r="V59" s="91">
        <v>107840171.12</v>
      </c>
      <c r="W59" s="91">
        <v>28204023.300000001</v>
      </c>
      <c r="X59" s="91">
        <v>62191740.149999999</v>
      </c>
      <c r="Y59" s="91">
        <v>6390876.8499999996</v>
      </c>
      <c r="Z59" s="91">
        <v>54568559.840000004</v>
      </c>
      <c r="AA59" s="91">
        <v>397601917.97000003</v>
      </c>
      <c r="AB59" s="91">
        <v>79750712.230000004</v>
      </c>
      <c r="AC59" s="91">
        <v>1538908.96</v>
      </c>
      <c r="AD59" s="91">
        <v>1177421393.4100001</v>
      </c>
      <c r="AE59" s="91">
        <v>604346369.60000002</v>
      </c>
      <c r="AF59" s="91">
        <v>23594192.030000001</v>
      </c>
      <c r="AG59" s="91">
        <v>168192710.28</v>
      </c>
      <c r="AH59" s="91">
        <v>130881834.97</v>
      </c>
      <c r="AI59" s="91">
        <v>123356730.51000001</v>
      </c>
      <c r="AJ59" s="91">
        <v>26736594.100000001</v>
      </c>
      <c r="AK59" s="91">
        <v>84870019.640000001</v>
      </c>
      <c r="AL59" s="91">
        <v>48233403.469999999</v>
      </c>
      <c r="AM59" s="91">
        <v>2204990494.8299999</v>
      </c>
      <c r="AN59" s="91">
        <v>303885068.69</v>
      </c>
      <c r="AO59" s="91">
        <v>13868448.619999999</v>
      </c>
      <c r="AP59" s="91">
        <v>17406603.850000001</v>
      </c>
      <c r="AQ59" s="91">
        <v>200132292.47</v>
      </c>
      <c r="AR59" s="91">
        <v>13373823.73</v>
      </c>
      <c r="AS59" s="91">
        <v>20239363.010000002</v>
      </c>
      <c r="AT59" s="91">
        <v>8260127634.6899996</v>
      </c>
      <c r="AU59" s="90" t="s">
        <v>344</v>
      </c>
      <c r="AV59" s="253"/>
      <c r="AW59" s="263"/>
    </row>
    <row r="60" spans="2:49" x14ac:dyDescent="0.35">
      <c r="B60" s="234"/>
      <c r="C60" s="250" t="s">
        <v>81</v>
      </c>
      <c r="D60" s="88" t="s">
        <v>313</v>
      </c>
      <c r="E60" s="89">
        <v>17226</v>
      </c>
      <c r="F60" s="89">
        <v>1287</v>
      </c>
      <c r="G60" s="89">
        <v>1655</v>
      </c>
      <c r="H60" s="89">
        <v>197250</v>
      </c>
      <c r="I60" s="89">
        <v>15392</v>
      </c>
      <c r="J60" s="89">
        <v>30885</v>
      </c>
      <c r="K60" s="89">
        <v>14965</v>
      </c>
      <c r="L60" s="89">
        <v>76408</v>
      </c>
      <c r="M60" s="89">
        <v>48218</v>
      </c>
      <c r="N60" s="89">
        <v>125558</v>
      </c>
      <c r="O60" s="89">
        <v>169220</v>
      </c>
      <c r="P60" s="89">
        <v>89559</v>
      </c>
      <c r="Q60" s="89">
        <v>204334</v>
      </c>
      <c r="R60" s="89">
        <v>215465</v>
      </c>
      <c r="S60" s="89">
        <v>120372</v>
      </c>
      <c r="T60" s="89">
        <v>8815</v>
      </c>
      <c r="U60" s="89">
        <v>104614</v>
      </c>
      <c r="V60" s="89">
        <v>133832</v>
      </c>
      <c r="W60" s="89">
        <v>16523</v>
      </c>
      <c r="X60" s="89">
        <v>42828</v>
      </c>
      <c r="Y60" s="89">
        <v>4385</v>
      </c>
      <c r="Z60" s="89">
        <v>18989</v>
      </c>
      <c r="AA60" s="89">
        <v>289026</v>
      </c>
      <c r="AB60" s="89">
        <v>41895</v>
      </c>
      <c r="AC60" s="89">
        <v>16670</v>
      </c>
      <c r="AD60" s="89">
        <v>488179</v>
      </c>
      <c r="AE60" s="89">
        <v>377477</v>
      </c>
      <c r="AF60" s="89">
        <v>27219</v>
      </c>
      <c r="AG60" s="89">
        <v>110835</v>
      </c>
      <c r="AH60" s="89">
        <v>121405</v>
      </c>
      <c r="AI60" s="89">
        <v>45968</v>
      </c>
      <c r="AJ60" s="89">
        <v>6388</v>
      </c>
      <c r="AK60" s="89">
        <v>34104</v>
      </c>
      <c r="AL60" s="89">
        <v>20340</v>
      </c>
      <c r="AM60" s="89">
        <v>724301</v>
      </c>
      <c r="AN60" s="89">
        <v>254156</v>
      </c>
      <c r="AO60" s="89">
        <v>9207</v>
      </c>
      <c r="AP60" s="89">
        <v>16996</v>
      </c>
      <c r="AQ60" s="89">
        <v>82085</v>
      </c>
      <c r="AR60" s="89">
        <v>9635</v>
      </c>
      <c r="AS60" s="89">
        <v>16589</v>
      </c>
      <c r="AT60" s="89">
        <v>4350255</v>
      </c>
      <c r="AU60" s="88" t="s">
        <v>312</v>
      </c>
      <c r="AV60" s="252" t="s">
        <v>97</v>
      </c>
      <c r="AW60" s="263"/>
    </row>
    <row r="61" spans="2:49" x14ac:dyDescent="0.35">
      <c r="B61" s="235"/>
      <c r="C61" s="251"/>
      <c r="D61" s="90" t="s">
        <v>345</v>
      </c>
      <c r="E61" s="91">
        <v>11273186.390000001</v>
      </c>
      <c r="F61" s="91">
        <v>841831.61</v>
      </c>
      <c r="G61" s="91">
        <v>995734.61</v>
      </c>
      <c r="H61" s="91">
        <v>197281038.30000001</v>
      </c>
      <c r="I61" s="91">
        <v>6857787.2999999998</v>
      </c>
      <c r="J61" s="91">
        <v>36167548.689999998</v>
      </c>
      <c r="K61" s="91">
        <v>9621401.9000000004</v>
      </c>
      <c r="L61" s="91">
        <v>77692763.200000003</v>
      </c>
      <c r="M61" s="91">
        <v>47843587.030000001</v>
      </c>
      <c r="N61" s="91">
        <v>85924125.109999999</v>
      </c>
      <c r="O61" s="91">
        <v>156710740.05000001</v>
      </c>
      <c r="P61" s="91">
        <v>88134505.420000002</v>
      </c>
      <c r="Q61" s="91">
        <v>205652251.72999999</v>
      </c>
      <c r="R61" s="91">
        <v>200904565.28</v>
      </c>
      <c r="S61" s="91">
        <v>159918711.30000001</v>
      </c>
      <c r="T61" s="91">
        <v>3685844.5</v>
      </c>
      <c r="U61" s="91">
        <v>68542290.620000005</v>
      </c>
      <c r="V61" s="91">
        <v>109628474.77</v>
      </c>
      <c r="W61" s="91">
        <v>15995188.380000001</v>
      </c>
      <c r="X61" s="91">
        <v>31511412.699999999</v>
      </c>
      <c r="Y61" s="91">
        <v>2268550.4</v>
      </c>
      <c r="Z61" s="91">
        <v>31694380.640000001</v>
      </c>
      <c r="AA61" s="91">
        <v>283920888.75</v>
      </c>
      <c r="AB61" s="91">
        <v>44992144.609999999</v>
      </c>
      <c r="AC61" s="91">
        <v>5058820.5599999996</v>
      </c>
      <c r="AD61" s="91">
        <v>460786690.51999998</v>
      </c>
      <c r="AE61" s="91">
        <v>335933430.14999998</v>
      </c>
      <c r="AF61" s="91">
        <v>16169120.550000001</v>
      </c>
      <c r="AG61" s="91">
        <v>70153996.760000005</v>
      </c>
      <c r="AH61" s="91">
        <v>49439404.18</v>
      </c>
      <c r="AI61" s="91">
        <v>76515031.390000001</v>
      </c>
      <c r="AJ61" s="91">
        <v>7139668.0599999996</v>
      </c>
      <c r="AK61" s="91">
        <v>40560479.859999999</v>
      </c>
      <c r="AL61" s="91">
        <v>22468975.5</v>
      </c>
      <c r="AM61" s="91">
        <v>1222056769.03</v>
      </c>
      <c r="AN61" s="91">
        <v>189859145.65000001</v>
      </c>
      <c r="AO61" s="91">
        <v>5571673.1699999999</v>
      </c>
      <c r="AP61" s="91">
        <v>10591686.029999999</v>
      </c>
      <c r="AQ61" s="91">
        <v>104234917.38</v>
      </c>
      <c r="AR61" s="91">
        <v>6740261.7300000004</v>
      </c>
      <c r="AS61" s="91">
        <v>7009222.5999999996</v>
      </c>
      <c r="AT61" s="91">
        <v>4508348246.4099998</v>
      </c>
      <c r="AU61" s="90" t="s">
        <v>344</v>
      </c>
      <c r="AV61" s="253"/>
      <c r="AW61" s="264"/>
    </row>
    <row r="62" spans="2:49" x14ac:dyDescent="0.35">
      <c r="B62" s="254" t="s">
        <v>82</v>
      </c>
      <c r="C62" s="255"/>
      <c r="D62" s="92" t="s">
        <v>313</v>
      </c>
      <c r="E62" s="93">
        <v>783999</v>
      </c>
      <c r="F62" s="93">
        <v>100339</v>
      </c>
      <c r="G62" s="93">
        <v>136705</v>
      </c>
      <c r="H62" s="93">
        <v>2323013</v>
      </c>
      <c r="I62" s="93">
        <v>381884</v>
      </c>
      <c r="J62" s="93">
        <v>491232</v>
      </c>
      <c r="K62" s="93">
        <v>857936</v>
      </c>
      <c r="L62" s="93">
        <v>2307921</v>
      </c>
      <c r="M62" s="93">
        <v>1179203</v>
      </c>
      <c r="N62" s="93">
        <v>2484046</v>
      </c>
      <c r="O62" s="93">
        <v>2747861</v>
      </c>
      <c r="P62" s="93">
        <v>1484667</v>
      </c>
      <c r="Q62" s="93">
        <v>3212379</v>
      </c>
      <c r="R62" s="93">
        <v>3694546</v>
      </c>
      <c r="S62" s="93">
        <v>1813844</v>
      </c>
      <c r="T62" s="93">
        <v>334699</v>
      </c>
      <c r="U62" s="93">
        <v>1133724</v>
      </c>
      <c r="V62" s="93">
        <v>1353978</v>
      </c>
      <c r="W62" s="93">
        <v>265459</v>
      </c>
      <c r="X62" s="93">
        <v>915859</v>
      </c>
      <c r="Y62" s="93">
        <v>71186</v>
      </c>
      <c r="Z62" s="93">
        <v>278952</v>
      </c>
      <c r="AA62" s="93">
        <v>4736983</v>
      </c>
      <c r="AB62" s="93">
        <v>711891</v>
      </c>
      <c r="AC62" s="93">
        <v>492748</v>
      </c>
      <c r="AD62" s="93">
        <v>8262705</v>
      </c>
      <c r="AE62" s="93">
        <v>8176982</v>
      </c>
      <c r="AF62" s="93">
        <v>340694</v>
      </c>
      <c r="AG62" s="93">
        <v>2747371</v>
      </c>
      <c r="AH62" s="93">
        <v>3135619</v>
      </c>
      <c r="AI62" s="93">
        <v>947472</v>
      </c>
      <c r="AJ62" s="93">
        <v>162047</v>
      </c>
      <c r="AK62" s="93">
        <v>581908</v>
      </c>
      <c r="AL62" s="93">
        <v>432728</v>
      </c>
      <c r="AM62" s="93">
        <v>10426231</v>
      </c>
      <c r="AN62" s="93">
        <v>5717551</v>
      </c>
      <c r="AO62" s="93">
        <v>145668</v>
      </c>
      <c r="AP62" s="93">
        <v>219517</v>
      </c>
      <c r="AQ62" s="93">
        <v>1675343</v>
      </c>
      <c r="AR62" s="93">
        <v>172160</v>
      </c>
      <c r="AS62" s="93">
        <v>397451</v>
      </c>
      <c r="AT62" s="93">
        <v>77836501</v>
      </c>
      <c r="AU62" s="92" t="s">
        <v>312</v>
      </c>
      <c r="AV62" s="258" t="s">
        <v>98</v>
      </c>
      <c r="AW62" s="259"/>
    </row>
    <row r="63" spans="2:49" x14ac:dyDescent="0.35">
      <c r="B63" s="256"/>
      <c r="C63" s="257"/>
      <c r="D63" s="94" t="s">
        <v>345</v>
      </c>
      <c r="E63" s="95">
        <v>749044994.35000002</v>
      </c>
      <c r="F63" s="95">
        <v>106945289.72</v>
      </c>
      <c r="G63" s="95">
        <v>144458775.65000001</v>
      </c>
      <c r="H63" s="95">
        <v>2744712200.2199998</v>
      </c>
      <c r="I63" s="95">
        <v>374934459.88</v>
      </c>
      <c r="J63" s="95">
        <v>502976227.73000002</v>
      </c>
      <c r="K63" s="95">
        <v>856035602.97000003</v>
      </c>
      <c r="L63" s="95">
        <v>3414298431</v>
      </c>
      <c r="M63" s="95">
        <v>1328555968.26</v>
      </c>
      <c r="N63" s="95">
        <v>2325011145.3499999</v>
      </c>
      <c r="O63" s="95">
        <v>3126482419.5500002</v>
      </c>
      <c r="P63" s="95">
        <v>1669859015.0699999</v>
      </c>
      <c r="Q63" s="95">
        <v>3999084064.7199998</v>
      </c>
      <c r="R63" s="95">
        <v>3887861318.4699998</v>
      </c>
      <c r="S63" s="95">
        <v>3713209487.9299998</v>
      </c>
      <c r="T63" s="95">
        <v>294599946.76999998</v>
      </c>
      <c r="U63" s="95">
        <v>1100615470.4400001</v>
      </c>
      <c r="V63" s="95">
        <v>1238432311.8599999</v>
      </c>
      <c r="W63" s="95">
        <v>828911154.32000005</v>
      </c>
      <c r="X63" s="95">
        <v>1708422462.25</v>
      </c>
      <c r="Y63" s="95">
        <v>83384502.799999997</v>
      </c>
      <c r="Z63" s="95">
        <v>593668710.60000002</v>
      </c>
      <c r="AA63" s="95">
        <v>5761853490.6599998</v>
      </c>
      <c r="AB63" s="95">
        <v>845541615.95000005</v>
      </c>
      <c r="AC63" s="95">
        <v>370534627.95999998</v>
      </c>
      <c r="AD63" s="95">
        <v>15605875232.74</v>
      </c>
      <c r="AE63" s="95">
        <v>9641545724.3700008</v>
      </c>
      <c r="AF63" s="95">
        <v>208771169.47999999</v>
      </c>
      <c r="AG63" s="95">
        <v>2806664255.9499998</v>
      </c>
      <c r="AH63" s="95">
        <v>2384387761.1700001</v>
      </c>
      <c r="AI63" s="95">
        <v>1743595770.9000001</v>
      </c>
      <c r="AJ63" s="95">
        <v>199688404.41</v>
      </c>
      <c r="AK63" s="95">
        <v>1287908832.72</v>
      </c>
      <c r="AL63" s="95">
        <v>1285930958.8099999</v>
      </c>
      <c r="AM63" s="95">
        <v>20319788489.880001</v>
      </c>
      <c r="AN63" s="95">
        <v>4627289307.6999998</v>
      </c>
      <c r="AO63" s="95">
        <v>265456674.88</v>
      </c>
      <c r="AP63" s="95">
        <v>515944824.52999997</v>
      </c>
      <c r="AQ63" s="95">
        <v>3097181742.4400001</v>
      </c>
      <c r="AR63" s="95">
        <v>314191586.75</v>
      </c>
      <c r="AS63" s="95">
        <v>1185561833.3699999</v>
      </c>
      <c r="AT63" s="95">
        <v>107259216264.58</v>
      </c>
      <c r="AU63" s="94" t="s">
        <v>344</v>
      </c>
      <c r="AV63" s="260"/>
      <c r="AW63" s="261"/>
    </row>
    <row r="64" spans="2:49" x14ac:dyDescent="0.35">
      <c r="B64" s="233">
        <v>2023</v>
      </c>
      <c r="C64" s="250" t="s">
        <v>70</v>
      </c>
      <c r="D64" s="88" t="s">
        <v>313</v>
      </c>
      <c r="E64" s="89">
        <v>22023</v>
      </c>
      <c r="F64" s="89">
        <v>5957</v>
      </c>
      <c r="G64" s="89">
        <v>11203</v>
      </c>
      <c r="H64" s="89">
        <v>213880</v>
      </c>
      <c r="I64" s="89">
        <v>5453</v>
      </c>
      <c r="J64" s="89">
        <v>41972</v>
      </c>
      <c r="K64" s="89">
        <v>18446</v>
      </c>
      <c r="L64" s="89">
        <v>100907</v>
      </c>
      <c r="M64" s="89">
        <v>74092</v>
      </c>
      <c r="N64" s="89">
        <v>218208</v>
      </c>
      <c r="O64" s="89">
        <v>187819</v>
      </c>
      <c r="P64" s="89">
        <v>100381</v>
      </c>
      <c r="Q64" s="89">
        <v>322001</v>
      </c>
      <c r="R64" s="89">
        <v>346673</v>
      </c>
      <c r="S64" s="89">
        <v>113737</v>
      </c>
      <c r="T64" s="89">
        <v>10661</v>
      </c>
      <c r="U64" s="89">
        <v>262359</v>
      </c>
      <c r="V64" s="89">
        <v>258702</v>
      </c>
      <c r="W64" s="89">
        <v>23786</v>
      </c>
      <c r="X64" s="89">
        <v>43899</v>
      </c>
      <c r="Y64" s="89">
        <v>6570</v>
      </c>
      <c r="Z64" s="89">
        <v>30054</v>
      </c>
      <c r="AA64" s="89">
        <v>314979</v>
      </c>
      <c r="AB64" s="89">
        <v>60141</v>
      </c>
      <c r="AC64" s="89">
        <v>19608</v>
      </c>
      <c r="AD64" s="89">
        <v>703109</v>
      </c>
      <c r="AE64" s="89">
        <v>510432</v>
      </c>
      <c r="AF64" s="89">
        <v>33697</v>
      </c>
      <c r="AG64" s="89">
        <v>133279</v>
      </c>
      <c r="AH64" s="89">
        <v>343441</v>
      </c>
      <c r="AI64" s="89">
        <v>81230</v>
      </c>
      <c r="AJ64" s="89">
        <v>25168</v>
      </c>
      <c r="AK64" s="89">
        <v>52923</v>
      </c>
      <c r="AL64" s="89">
        <v>40853</v>
      </c>
      <c r="AM64" s="89">
        <v>1060618</v>
      </c>
      <c r="AN64" s="89">
        <v>304287</v>
      </c>
      <c r="AO64" s="89">
        <v>13182</v>
      </c>
      <c r="AP64" s="89">
        <v>25264</v>
      </c>
      <c r="AQ64" s="89">
        <v>116349</v>
      </c>
      <c r="AR64" s="89">
        <v>15023</v>
      </c>
      <c r="AS64" s="89">
        <v>21590</v>
      </c>
      <c r="AT64" s="89">
        <v>6293956</v>
      </c>
      <c r="AU64" s="88" t="s">
        <v>312</v>
      </c>
      <c r="AV64" s="252" t="s">
        <v>86</v>
      </c>
      <c r="AW64" s="262">
        <v>2023</v>
      </c>
    </row>
    <row r="65" spans="2:49" x14ac:dyDescent="0.35">
      <c r="B65" s="234"/>
      <c r="C65" s="251"/>
      <c r="D65" s="90" t="s">
        <v>345</v>
      </c>
      <c r="E65" s="91">
        <v>20519994.859999999</v>
      </c>
      <c r="F65" s="91">
        <v>6453565.5700000003</v>
      </c>
      <c r="G65" s="91">
        <v>5285955.42</v>
      </c>
      <c r="H65" s="91">
        <v>192503175.93000001</v>
      </c>
      <c r="I65" s="91">
        <v>7917127.4400000004</v>
      </c>
      <c r="J65" s="91">
        <v>57811144.670000002</v>
      </c>
      <c r="K65" s="91">
        <v>29102095.27</v>
      </c>
      <c r="L65" s="91">
        <v>133661506.26000001</v>
      </c>
      <c r="M65" s="91">
        <v>65181500.380000003</v>
      </c>
      <c r="N65" s="91">
        <v>198244953.97999999</v>
      </c>
      <c r="O65" s="91">
        <v>131256129.48999999</v>
      </c>
      <c r="P65" s="91">
        <v>106518950.09</v>
      </c>
      <c r="Q65" s="91">
        <v>456068997.61000001</v>
      </c>
      <c r="R65" s="91">
        <v>344936469.38999999</v>
      </c>
      <c r="S65" s="91">
        <v>197741309.15000001</v>
      </c>
      <c r="T65" s="91">
        <v>5474153.1799999997</v>
      </c>
      <c r="U65" s="91">
        <v>169895272</v>
      </c>
      <c r="V65" s="91">
        <v>358885466.86000001</v>
      </c>
      <c r="W65" s="91">
        <v>19246207.550000001</v>
      </c>
      <c r="X65" s="91">
        <v>108008234.5</v>
      </c>
      <c r="Y65" s="91">
        <v>4434638.76</v>
      </c>
      <c r="Z65" s="91">
        <v>35690929.850000001</v>
      </c>
      <c r="AA65" s="91">
        <v>323290144.80000001</v>
      </c>
      <c r="AB65" s="91">
        <v>84491148.090000004</v>
      </c>
      <c r="AC65" s="91">
        <v>12717627.25</v>
      </c>
      <c r="AD65" s="91">
        <v>917798497.25</v>
      </c>
      <c r="AE65" s="91">
        <v>587098322.62</v>
      </c>
      <c r="AF65" s="91">
        <v>19793762.82</v>
      </c>
      <c r="AG65" s="91">
        <v>128348227.59999999</v>
      </c>
      <c r="AH65" s="91">
        <v>194791450.16999999</v>
      </c>
      <c r="AI65" s="91">
        <v>132165345.15000001</v>
      </c>
      <c r="AJ65" s="91">
        <v>31337193.75</v>
      </c>
      <c r="AK65" s="91">
        <v>119682437.53</v>
      </c>
      <c r="AL65" s="91">
        <v>55503180.719999999</v>
      </c>
      <c r="AM65" s="91">
        <v>2198766674.73</v>
      </c>
      <c r="AN65" s="91">
        <v>570377359.26999998</v>
      </c>
      <c r="AO65" s="91">
        <v>7934536.9500000002</v>
      </c>
      <c r="AP65" s="91">
        <v>12392862.91</v>
      </c>
      <c r="AQ65" s="91">
        <v>246880394.84</v>
      </c>
      <c r="AR65" s="91">
        <v>16037340.98</v>
      </c>
      <c r="AS65" s="91">
        <v>19119295.260000002</v>
      </c>
      <c r="AT65" s="91">
        <v>8333363580.8999996</v>
      </c>
      <c r="AU65" s="90" t="s">
        <v>344</v>
      </c>
      <c r="AV65" s="253"/>
      <c r="AW65" s="263"/>
    </row>
    <row r="66" spans="2:49" x14ac:dyDescent="0.35">
      <c r="B66" s="234"/>
      <c r="C66" s="250" t="s">
        <v>71</v>
      </c>
      <c r="D66" s="88" t="s">
        <v>313</v>
      </c>
      <c r="E66" s="89">
        <v>21722</v>
      </c>
      <c r="F66" s="89">
        <v>5738</v>
      </c>
      <c r="G66" s="89">
        <v>2585</v>
      </c>
      <c r="H66" s="89">
        <v>330885</v>
      </c>
      <c r="I66" s="89">
        <v>18049</v>
      </c>
      <c r="J66" s="89">
        <v>37421</v>
      </c>
      <c r="K66" s="89">
        <v>51744</v>
      </c>
      <c r="L66" s="89">
        <v>118659</v>
      </c>
      <c r="M66" s="89">
        <v>71363</v>
      </c>
      <c r="N66" s="89">
        <v>166966</v>
      </c>
      <c r="O66" s="89">
        <v>214534</v>
      </c>
      <c r="P66" s="89">
        <v>107832</v>
      </c>
      <c r="Q66" s="89">
        <v>288326</v>
      </c>
      <c r="R66" s="89">
        <v>325920</v>
      </c>
      <c r="S66" s="89">
        <v>119725</v>
      </c>
      <c r="T66" s="89">
        <v>7511</v>
      </c>
      <c r="U66" s="89">
        <v>154940</v>
      </c>
      <c r="V66" s="89">
        <v>183502</v>
      </c>
      <c r="W66" s="89">
        <v>20717</v>
      </c>
      <c r="X66" s="89">
        <v>51098</v>
      </c>
      <c r="Y66" s="89">
        <v>7331</v>
      </c>
      <c r="Z66" s="89">
        <v>26293</v>
      </c>
      <c r="AA66" s="89">
        <v>298824</v>
      </c>
      <c r="AB66" s="89">
        <v>55209</v>
      </c>
      <c r="AC66" s="89">
        <v>9918</v>
      </c>
      <c r="AD66" s="89">
        <v>647970</v>
      </c>
      <c r="AE66" s="89">
        <v>475550</v>
      </c>
      <c r="AF66" s="89">
        <v>29331</v>
      </c>
      <c r="AG66" s="89">
        <v>126175</v>
      </c>
      <c r="AH66" s="89">
        <v>166473</v>
      </c>
      <c r="AI66" s="89">
        <v>63071</v>
      </c>
      <c r="AJ66" s="89">
        <v>12987</v>
      </c>
      <c r="AK66" s="89">
        <v>55140</v>
      </c>
      <c r="AL66" s="89">
        <v>36584</v>
      </c>
      <c r="AM66" s="89">
        <v>912328</v>
      </c>
      <c r="AN66" s="89">
        <v>218594</v>
      </c>
      <c r="AO66" s="89">
        <v>11652</v>
      </c>
      <c r="AP66" s="89">
        <v>22357</v>
      </c>
      <c r="AQ66" s="89">
        <v>97448</v>
      </c>
      <c r="AR66" s="89">
        <v>13505</v>
      </c>
      <c r="AS66" s="89">
        <v>21660</v>
      </c>
      <c r="AT66" s="89">
        <v>5607637</v>
      </c>
      <c r="AU66" s="88" t="s">
        <v>312</v>
      </c>
      <c r="AV66" s="252" t="s">
        <v>87</v>
      </c>
      <c r="AW66" s="263"/>
    </row>
    <row r="67" spans="2:49" x14ac:dyDescent="0.35">
      <c r="B67" s="234"/>
      <c r="C67" s="251"/>
      <c r="D67" s="90" t="s">
        <v>345</v>
      </c>
      <c r="E67" s="91">
        <v>36542184.700000003</v>
      </c>
      <c r="F67" s="91">
        <v>5843559.9100000001</v>
      </c>
      <c r="G67" s="91">
        <v>2038303.51</v>
      </c>
      <c r="H67" s="91">
        <v>309460288.29000002</v>
      </c>
      <c r="I67" s="91">
        <v>7819355.9800000004</v>
      </c>
      <c r="J67" s="91">
        <v>45171813.259999998</v>
      </c>
      <c r="K67" s="91">
        <v>86359552.629999995</v>
      </c>
      <c r="L67" s="91">
        <v>153097957.46000001</v>
      </c>
      <c r="M67" s="91">
        <v>97849619.75</v>
      </c>
      <c r="N67" s="91">
        <v>154368216.77000001</v>
      </c>
      <c r="O67" s="91">
        <v>291382810.75</v>
      </c>
      <c r="P67" s="91">
        <v>134906609</v>
      </c>
      <c r="Q67" s="91">
        <v>368789889.91000003</v>
      </c>
      <c r="R67" s="91">
        <v>348293946.55000001</v>
      </c>
      <c r="S67" s="91">
        <v>173311162.22999999</v>
      </c>
      <c r="T67" s="91">
        <v>5071932.93</v>
      </c>
      <c r="U67" s="91">
        <v>106313388.88</v>
      </c>
      <c r="V67" s="91">
        <v>346696953.20999998</v>
      </c>
      <c r="W67" s="91">
        <v>42873571.399999999</v>
      </c>
      <c r="X67" s="91">
        <v>93107349.269999996</v>
      </c>
      <c r="Y67" s="91">
        <v>13201286.58</v>
      </c>
      <c r="Z67" s="91">
        <v>51780772.229999997</v>
      </c>
      <c r="AA67" s="91">
        <v>305630265.47000003</v>
      </c>
      <c r="AB67" s="91">
        <v>64713688.270000003</v>
      </c>
      <c r="AC67" s="91">
        <v>8804146.5099999998</v>
      </c>
      <c r="AD67" s="91">
        <v>914209490.65999997</v>
      </c>
      <c r="AE67" s="91">
        <v>607870454.77999997</v>
      </c>
      <c r="AF67" s="91">
        <v>16510926.66</v>
      </c>
      <c r="AG67" s="91">
        <v>117544870.29000001</v>
      </c>
      <c r="AH67" s="91">
        <v>132484611.28</v>
      </c>
      <c r="AI67" s="91">
        <v>98749317.439999998</v>
      </c>
      <c r="AJ67" s="91">
        <v>37832834.729999997</v>
      </c>
      <c r="AK67" s="91">
        <v>135849318.09999999</v>
      </c>
      <c r="AL67" s="91">
        <v>40869470.170000002</v>
      </c>
      <c r="AM67" s="91">
        <v>1719463214.53</v>
      </c>
      <c r="AN67" s="91">
        <v>274071883.35000002</v>
      </c>
      <c r="AO67" s="91">
        <v>6327245.3799999999</v>
      </c>
      <c r="AP67" s="91">
        <v>10319873.75</v>
      </c>
      <c r="AQ67" s="91">
        <v>232294984.86000001</v>
      </c>
      <c r="AR67" s="91">
        <v>10105980.07</v>
      </c>
      <c r="AS67" s="91">
        <v>13184548.300000001</v>
      </c>
      <c r="AT67" s="91">
        <v>7621117649.8000002</v>
      </c>
      <c r="AU67" s="90" t="s">
        <v>344</v>
      </c>
      <c r="AV67" s="253"/>
      <c r="AW67" s="263"/>
    </row>
    <row r="68" spans="2:49" x14ac:dyDescent="0.35">
      <c r="B68" s="234"/>
      <c r="C68" s="250" t="s">
        <v>72</v>
      </c>
      <c r="D68" s="88" t="s">
        <v>313</v>
      </c>
      <c r="E68" s="89">
        <v>35199</v>
      </c>
      <c r="F68" s="89">
        <v>6168</v>
      </c>
      <c r="G68" s="89">
        <v>11641</v>
      </c>
      <c r="H68" s="89">
        <v>220794</v>
      </c>
      <c r="I68" s="89">
        <v>6007</v>
      </c>
      <c r="J68" s="89">
        <v>49106</v>
      </c>
      <c r="K68" s="89">
        <v>36251</v>
      </c>
      <c r="L68" s="89">
        <v>166046</v>
      </c>
      <c r="M68" s="89">
        <v>87442</v>
      </c>
      <c r="N68" s="89">
        <v>196800</v>
      </c>
      <c r="O68" s="89">
        <v>237240</v>
      </c>
      <c r="P68" s="89">
        <v>142954</v>
      </c>
      <c r="Q68" s="89">
        <v>355213</v>
      </c>
      <c r="R68" s="89">
        <v>381920</v>
      </c>
      <c r="S68" s="89">
        <v>156427</v>
      </c>
      <c r="T68" s="89">
        <v>44760</v>
      </c>
      <c r="U68" s="89">
        <v>71646</v>
      </c>
      <c r="V68" s="89">
        <v>168458</v>
      </c>
      <c r="W68" s="89">
        <v>26375</v>
      </c>
      <c r="X68" s="89">
        <v>63341</v>
      </c>
      <c r="Y68" s="89">
        <v>8222</v>
      </c>
      <c r="Z68" s="89">
        <v>30234</v>
      </c>
      <c r="AA68" s="89">
        <v>363474</v>
      </c>
      <c r="AB68" s="89">
        <v>67246</v>
      </c>
      <c r="AC68" s="89">
        <v>39768</v>
      </c>
      <c r="AD68" s="89">
        <v>851555</v>
      </c>
      <c r="AE68" s="89">
        <v>729329</v>
      </c>
      <c r="AF68" s="89">
        <v>31130</v>
      </c>
      <c r="AG68" s="89">
        <v>198350</v>
      </c>
      <c r="AH68" s="89">
        <v>154703</v>
      </c>
      <c r="AI68" s="89">
        <v>65494</v>
      </c>
      <c r="AJ68" s="89">
        <v>11341</v>
      </c>
      <c r="AK68" s="89">
        <v>49856</v>
      </c>
      <c r="AL68" s="89">
        <v>36037</v>
      </c>
      <c r="AM68" s="89">
        <v>937132</v>
      </c>
      <c r="AN68" s="89">
        <v>243533</v>
      </c>
      <c r="AO68" s="89">
        <v>14910</v>
      </c>
      <c r="AP68" s="89">
        <v>23531</v>
      </c>
      <c r="AQ68" s="89">
        <v>129135</v>
      </c>
      <c r="AR68" s="89">
        <v>18004</v>
      </c>
      <c r="AS68" s="89">
        <v>35384</v>
      </c>
      <c r="AT68" s="89">
        <v>6502156</v>
      </c>
      <c r="AU68" s="88" t="s">
        <v>312</v>
      </c>
      <c r="AV68" s="252" t="s">
        <v>88</v>
      </c>
      <c r="AW68" s="263"/>
    </row>
    <row r="69" spans="2:49" x14ac:dyDescent="0.35">
      <c r="B69" s="234"/>
      <c r="C69" s="251"/>
      <c r="D69" s="90" t="s">
        <v>345</v>
      </c>
      <c r="E69" s="91">
        <v>47587998</v>
      </c>
      <c r="F69" s="91">
        <v>4389560.3899999997</v>
      </c>
      <c r="G69" s="91">
        <v>7331722.71</v>
      </c>
      <c r="H69" s="91">
        <v>302108354.19999999</v>
      </c>
      <c r="I69" s="91">
        <v>9592314.4100000001</v>
      </c>
      <c r="J69" s="91">
        <v>43689840.75</v>
      </c>
      <c r="K69" s="91">
        <v>30605341.539999999</v>
      </c>
      <c r="L69" s="91">
        <v>280823538.11000001</v>
      </c>
      <c r="M69" s="91">
        <v>162630619.97</v>
      </c>
      <c r="N69" s="91">
        <v>173762105.66999999</v>
      </c>
      <c r="O69" s="91">
        <v>188799284.46000001</v>
      </c>
      <c r="P69" s="91">
        <v>162311756.91</v>
      </c>
      <c r="Q69" s="91">
        <v>574283174.83000004</v>
      </c>
      <c r="R69" s="91">
        <v>497732257.29000002</v>
      </c>
      <c r="S69" s="91">
        <v>214864534.05000001</v>
      </c>
      <c r="T69" s="91">
        <v>29010628.48</v>
      </c>
      <c r="U69" s="91">
        <v>100052275.11</v>
      </c>
      <c r="V69" s="91">
        <v>247737955.69999999</v>
      </c>
      <c r="W69" s="91">
        <v>25516205.48</v>
      </c>
      <c r="X69" s="91">
        <v>100957113.02</v>
      </c>
      <c r="Y69" s="91">
        <v>13538902.699999999</v>
      </c>
      <c r="Z69" s="91">
        <v>46780176.729999997</v>
      </c>
      <c r="AA69" s="91">
        <v>487487442.67000002</v>
      </c>
      <c r="AB69" s="91">
        <v>85543524.290000007</v>
      </c>
      <c r="AC69" s="91">
        <v>27019046.859999999</v>
      </c>
      <c r="AD69" s="91">
        <v>1482203719.6300001</v>
      </c>
      <c r="AE69" s="91">
        <v>846423528.23000002</v>
      </c>
      <c r="AF69" s="91">
        <v>21570330.719999999</v>
      </c>
      <c r="AG69" s="91">
        <v>274955138.31999999</v>
      </c>
      <c r="AH69" s="91">
        <v>239138296.56999999</v>
      </c>
      <c r="AI69" s="91">
        <v>133376292.01000001</v>
      </c>
      <c r="AJ69" s="91">
        <v>8413268.8000000007</v>
      </c>
      <c r="AK69" s="91">
        <v>143753540.22</v>
      </c>
      <c r="AL69" s="91">
        <v>37026385.990000002</v>
      </c>
      <c r="AM69" s="91">
        <v>1908044095.03</v>
      </c>
      <c r="AN69" s="91">
        <v>449831967.62</v>
      </c>
      <c r="AO69" s="91">
        <v>10945798.880000001</v>
      </c>
      <c r="AP69" s="91">
        <v>15545878.49</v>
      </c>
      <c r="AQ69" s="91">
        <v>281353200.68000001</v>
      </c>
      <c r="AR69" s="91">
        <v>11148122.1</v>
      </c>
      <c r="AS69" s="91">
        <v>15603504.57</v>
      </c>
      <c r="AT69" s="91">
        <v>9743488742.1900005</v>
      </c>
      <c r="AU69" s="90" t="s">
        <v>344</v>
      </c>
      <c r="AV69" s="253"/>
      <c r="AW69" s="263"/>
    </row>
    <row r="70" spans="2:49" x14ac:dyDescent="0.35">
      <c r="B70" s="234"/>
      <c r="C70" s="250" t="s">
        <v>73</v>
      </c>
      <c r="D70" s="88" t="s">
        <v>313</v>
      </c>
      <c r="E70" s="89">
        <v>51706</v>
      </c>
      <c r="F70" s="89">
        <v>5579</v>
      </c>
      <c r="G70" s="89">
        <v>12172</v>
      </c>
      <c r="H70" s="89">
        <v>453433</v>
      </c>
      <c r="I70" s="89">
        <v>21627</v>
      </c>
      <c r="J70" s="89">
        <v>55533</v>
      </c>
      <c r="K70" s="89">
        <v>42597</v>
      </c>
      <c r="L70" s="89">
        <v>168431</v>
      </c>
      <c r="M70" s="89">
        <v>109917</v>
      </c>
      <c r="N70" s="89">
        <v>191602</v>
      </c>
      <c r="O70" s="89">
        <v>230459</v>
      </c>
      <c r="P70" s="89">
        <v>133859</v>
      </c>
      <c r="Q70" s="89">
        <v>342564</v>
      </c>
      <c r="R70" s="89">
        <v>434908</v>
      </c>
      <c r="S70" s="89">
        <v>137750</v>
      </c>
      <c r="T70" s="89">
        <v>25308</v>
      </c>
      <c r="U70" s="89">
        <v>72186</v>
      </c>
      <c r="V70" s="89">
        <v>143440</v>
      </c>
      <c r="W70" s="89">
        <v>28850</v>
      </c>
      <c r="X70" s="89">
        <v>61581</v>
      </c>
      <c r="Y70" s="89">
        <v>7973</v>
      </c>
      <c r="Z70" s="89">
        <v>25373</v>
      </c>
      <c r="AA70" s="89">
        <v>439675</v>
      </c>
      <c r="AB70" s="89">
        <v>53406</v>
      </c>
      <c r="AC70" s="89">
        <v>35133</v>
      </c>
      <c r="AD70" s="89">
        <v>852529</v>
      </c>
      <c r="AE70" s="89">
        <v>862308</v>
      </c>
      <c r="AF70" s="89">
        <v>28058</v>
      </c>
      <c r="AG70" s="89">
        <v>292162</v>
      </c>
      <c r="AH70" s="89">
        <v>128172</v>
      </c>
      <c r="AI70" s="89">
        <v>84135</v>
      </c>
      <c r="AJ70" s="89">
        <v>13604</v>
      </c>
      <c r="AK70" s="89">
        <v>44601</v>
      </c>
      <c r="AL70" s="89">
        <v>50271</v>
      </c>
      <c r="AM70" s="89">
        <v>754480</v>
      </c>
      <c r="AN70" s="89">
        <v>287779</v>
      </c>
      <c r="AO70" s="89">
        <v>14905</v>
      </c>
      <c r="AP70" s="89">
        <v>21711</v>
      </c>
      <c r="AQ70" s="89">
        <v>104403</v>
      </c>
      <c r="AR70" s="89">
        <v>18578</v>
      </c>
      <c r="AS70" s="89">
        <v>38538</v>
      </c>
      <c r="AT70" s="89">
        <v>6881296</v>
      </c>
      <c r="AU70" s="88" t="s">
        <v>312</v>
      </c>
      <c r="AV70" s="252" t="s">
        <v>89</v>
      </c>
      <c r="AW70" s="263"/>
    </row>
    <row r="71" spans="2:49" x14ac:dyDescent="0.35">
      <c r="B71" s="234"/>
      <c r="C71" s="251"/>
      <c r="D71" s="90" t="s">
        <v>345</v>
      </c>
      <c r="E71" s="91">
        <v>78751877.349999994</v>
      </c>
      <c r="F71" s="91">
        <v>4558195.5599999996</v>
      </c>
      <c r="G71" s="91">
        <v>7172669.9000000004</v>
      </c>
      <c r="H71" s="91">
        <v>530213784.45999998</v>
      </c>
      <c r="I71" s="91">
        <v>19654063.440000001</v>
      </c>
      <c r="J71" s="91">
        <v>75745864.379999995</v>
      </c>
      <c r="K71" s="91">
        <v>67320108.319999993</v>
      </c>
      <c r="L71" s="91">
        <v>215005789.13</v>
      </c>
      <c r="M71" s="91">
        <v>185132885.25</v>
      </c>
      <c r="N71" s="91">
        <v>308009667.33999997</v>
      </c>
      <c r="O71" s="91">
        <v>241607408.74000001</v>
      </c>
      <c r="P71" s="91">
        <v>170119908.34</v>
      </c>
      <c r="Q71" s="91">
        <v>517430399.06</v>
      </c>
      <c r="R71" s="91">
        <v>552065932.96000004</v>
      </c>
      <c r="S71" s="91">
        <v>261578560.66999999</v>
      </c>
      <c r="T71" s="91">
        <v>20759370.829999998</v>
      </c>
      <c r="U71" s="91">
        <v>102427578.36</v>
      </c>
      <c r="V71" s="91">
        <v>212004322.25</v>
      </c>
      <c r="W71" s="91">
        <v>34188436.960000001</v>
      </c>
      <c r="X71" s="91">
        <v>77121977.450000003</v>
      </c>
      <c r="Y71" s="91">
        <v>8113699.6799999997</v>
      </c>
      <c r="Z71" s="91">
        <v>26003683.789999999</v>
      </c>
      <c r="AA71" s="91">
        <v>474927936.35000002</v>
      </c>
      <c r="AB71" s="91">
        <v>55301028.740000002</v>
      </c>
      <c r="AC71" s="91">
        <v>29290144.210000001</v>
      </c>
      <c r="AD71" s="91">
        <v>1496412233.8499999</v>
      </c>
      <c r="AE71" s="91">
        <v>1165578314.5</v>
      </c>
      <c r="AF71" s="91">
        <v>21296061.510000002</v>
      </c>
      <c r="AG71" s="91">
        <v>300133982.75</v>
      </c>
      <c r="AH71" s="91">
        <v>108577683.09999999</v>
      </c>
      <c r="AI71" s="91">
        <v>95077232.430000007</v>
      </c>
      <c r="AJ71" s="91">
        <v>13062088.060000001</v>
      </c>
      <c r="AK71" s="91">
        <v>55574006.909999996</v>
      </c>
      <c r="AL71" s="91">
        <v>74355117.599999994</v>
      </c>
      <c r="AM71" s="91">
        <v>1195767744.5899999</v>
      </c>
      <c r="AN71" s="91">
        <v>365731170.13</v>
      </c>
      <c r="AO71" s="91">
        <v>18874913.18</v>
      </c>
      <c r="AP71" s="91">
        <v>12798246.109999999</v>
      </c>
      <c r="AQ71" s="91">
        <v>197767114.09999999</v>
      </c>
      <c r="AR71" s="91">
        <v>13529051.949999999</v>
      </c>
      <c r="AS71" s="91">
        <v>19007281.84</v>
      </c>
      <c r="AT71" s="91">
        <v>9428047536.1299992</v>
      </c>
      <c r="AU71" s="90" t="s">
        <v>344</v>
      </c>
      <c r="AV71" s="253"/>
      <c r="AW71" s="263"/>
    </row>
    <row r="72" spans="2:49" x14ac:dyDescent="0.35">
      <c r="B72" s="234"/>
      <c r="C72" s="250" t="s">
        <v>74</v>
      </c>
      <c r="D72" s="88" t="s">
        <v>313</v>
      </c>
      <c r="E72" s="89">
        <v>41008</v>
      </c>
      <c r="F72" s="89">
        <v>13948</v>
      </c>
      <c r="G72" s="89">
        <v>5204</v>
      </c>
      <c r="H72" s="89">
        <v>176213</v>
      </c>
      <c r="I72" s="89">
        <v>14394</v>
      </c>
      <c r="J72" s="89">
        <v>33785</v>
      </c>
      <c r="K72" s="89">
        <v>14764</v>
      </c>
      <c r="L72" s="89">
        <v>153446</v>
      </c>
      <c r="M72" s="89">
        <v>84308</v>
      </c>
      <c r="N72" s="89">
        <v>162443</v>
      </c>
      <c r="O72" s="89">
        <v>184075</v>
      </c>
      <c r="P72" s="89">
        <v>128515</v>
      </c>
      <c r="Q72" s="89">
        <v>283998</v>
      </c>
      <c r="R72" s="89">
        <v>306156</v>
      </c>
      <c r="S72" s="89">
        <v>87244</v>
      </c>
      <c r="T72" s="89">
        <v>11593</v>
      </c>
      <c r="U72" s="89">
        <v>46272</v>
      </c>
      <c r="V72" s="89">
        <v>45934</v>
      </c>
      <c r="W72" s="89">
        <v>19651</v>
      </c>
      <c r="X72" s="89">
        <v>38632</v>
      </c>
      <c r="Y72" s="89">
        <v>5229</v>
      </c>
      <c r="Z72" s="89">
        <v>15151</v>
      </c>
      <c r="AA72" s="89">
        <v>263584</v>
      </c>
      <c r="AB72" s="89">
        <v>56087</v>
      </c>
      <c r="AC72" s="89">
        <v>18493</v>
      </c>
      <c r="AD72" s="89">
        <v>691753</v>
      </c>
      <c r="AE72" s="89">
        <v>356206</v>
      </c>
      <c r="AF72" s="89">
        <v>23879</v>
      </c>
      <c r="AG72" s="89">
        <v>217154</v>
      </c>
      <c r="AH72" s="89">
        <v>135085</v>
      </c>
      <c r="AI72" s="89">
        <v>55597</v>
      </c>
      <c r="AJ72" s="89">
        <v>7422</v>
      </c>
      <c r="AK72" s="89">
        <v>28592</v>
      </c>
      <c r="AL72" s="89">
        <v>28019</v>
      </c>
      <c r="AM72" s="89">
        <v>826178</v>
      </c>
      <c r="AN72" s="89">
        <v>234568</v>
      </c>
      <c r="AO72" s="89">
        <v>12244</v>
      </c>
      <c r="AP72" s="89">
        <v>19531</v>
      </c>
      <c r="AQ72" s="89">
        <v>107076</v>
      </c>
      <c r="AR72" s="89">
        <v>15026</v>
      </c>
      <c r="AS72" s="89">
        <v>34534</v>
      </c>
      <c r="AT72" s="89">
        <v>5002991</v>
      </c>
      <c r="AU72" s="88" t="s">
        <v>312</v>
      </c>
      <c r="AV72" s="252" t="s">
        <v>90</v>
      </c>
      <c r="AW72" s="263"/>
    </row>
    <row r="73" spans="2:49" x14ac:dyDescent="0.35">
      <c r="B73" s="234"/>
      <c r="C73" s="251"/>
      <c r="D73" s="90" t="s">
        <v>345</v>
      </c>
      <c r="E73" s="91">
        <v>39810749.710000001</v>
      </c>
      <c r="F73" s="91">
        <v>15786506.41</v>
      </c>
      <c r="G73" s="91">
        <v>4710919.96</v>
      </c>
      <c r="H73" s="91">
        <v>249336202.52000001</v>
      </c>
      <c r="I73" s="91">
        <v>19466952.399999999</v>
      </c>
      <c r="J73" s="91">
        <v>51016108.700000003</v>
      </c>
      <c r="K73" s="91">
        <v>9025735.4000000004</v>
      </c>
      <c r="L73" s="91">
        <v>169028255.12</v>
      </c>
      <c r="M73" s="91">
        <v>95026284.049999997</v>
      </c>
      <c r="N73" s="91">
        <v>181032863.68000001</v>
      </c>
      <c r="O73" s="91">
        <v>172651129.12</v>
      </c>
      <c r="P73" s="91">
        <v>163944133.71000001</v>
      </c>
      <c r="Q73" s="91">
        <v>581187131.32000005</v>
      </c>
      <c r="R73" s="91">
        <v>363696666.56999999</v>
      </c>
      <c r="S73" s="91">
        <v>148804372.78</v>
      </c>
      <c r="T73" s="91">
        <v>10150070.130000001</v>
      </c>
      <c r="U73" s="91">
        <v>60888556.289999999</v>
      </c>
      <c r="V73" s="91">
        <v>67675737.370000005</v>
      </c>
      <c r="W73" s="91">
        <v>21590698.370000001</v>
      </c>
      <c r="X73" s="91">
        <v>40835665.530000001</v>
      </c>
      <c r="Y73" s="91">
        <v>3921124.11</v>
      </c>
      <c r="Z73" s="91">
        <v>22482305.93</v>
      </c>
      <c r="AA73" s="91">
        <v>276712583.13999999</v>
      </c>
      <c r="AB73" s="91">
        <v>57688374.049999997</v>
      </c>
      <c r="AC73" s="91">
        <v>16726309.35</v>
      </c>
      <c r="AD73" s="91">
        <v>1142109672.25</v>
      </c>
      <c r="AE73" s="91">
        <v>386394340.01999998</v>
      </c>
      <c r="AF73" s="91">
        <v>16868183.300000001</v>
      </c>
      <c r="AG73" s="91">
        <v>184523208.22</v>
      </c>
      <c r="AH73" s="91">
        <v>154026827.88999999</v>
      </c>
      <c r="AI73" s="91">
        <v>64946468.719999999</v>
      </c>
      <c r="AJ73" s="91">
        <v>6163724.6799999997</v>
      </c>
      <c r="AK73" s="91">
        <v>82748282.170000002</v>
      </c>
      <c r="AL73" s="91">
        <v>34978835.380000003</v>
      </c>
      <c r="AM73" s="91">
        <v>1209821402.1600001</v>
      </c>
      <c r="AN73" s="91">
        <v>308933421.51999998</v>
      </c>
      <c r="AO73" s="91">
        <v>15678484.939999999</v>
      </c>
      <c r="AP73" s="91">
        <v>13670355.99</v>
      </c>
      <c r="AQ73" s="91">
        <v>220347390.78999999</v>
      </c>
      <c r="AR73" s="91">
        <v>12715279.82</v>
      </c>
      <c r="AS73" s="91">
        <v>16435247.060000001</v>
      </c>
      <c r="AT73" s="91">
        <v>6713556560.6300001</v>
      </c>
      <c r="AU73" s="90" t="s">
        <v>344</v>
      </c>
      <c r="AV73" s="253"/>
      <c r="AW73" s="263"/>
    </row>
    <row r="74" spans="2:49" x14ac:dyDescent="0.35">
      <c r="B74" s="234"/>
      <c r="C74" s="250" t="s">
        <v>75</v>
      </c>
      <c r="D74" s="88" t="s">
        <v>313</v>
      </c>
      <c r="E74" s="89">
        <v>193128</v>
      </c>
      <c r="F74" s="89">
        <v>36527</v>
      </c>
      <c r="G74" s="89">
        <v>35426</v>
      </c>
      <c r="H74" s="89">
        <v>422164</v>
      </c>
      <c r="I74" s="89">
        <v>37215</v>
      </c>
      <c r="J74" s="89">
        <v>84420</v>
      </c>
      <c r="K74" s="89">
        <v>72604</v>
      </c>
      <c r="L74" s="89">
        <v>495174</v>
      </c>
      <c r="M74" s="89">
        <v>287075</v>
      </c>
      <c r="N74" s="89">
        <v>488780</v>
      </c>
      <c r="O74" s="89">
        <v>301447</v>
      </c>
      <c r="P74" s="89">
        <v>164979</v>
      </c>
      <c r="Q74" s="89">
        <v>381659</v>
      </c>
      <c r="R74" s="89">
        <v>547089</v>
      </c>
      <c r="S74" s="89">
        <v>235479</v>
      </c>
      <c r="T74" s="89">
        <v>5859</v>
      </c>
      <c r="U74" s="89">
        <v>76542</v>
      </c>
      <c r="V74" s="89">
        <v>98189</v>
      </c>
      <c r="W74" s="89">
        <v>47437</v>
      </c>
      <c r="X74" s="89">
        <v>80977</v>
      </c>
      <c r="Y74" s="89">
        <v>12378</v>
      </c>
      <c r="Z74" s="89">
        <v>38854</v>
      </c>
      <c r="AA74" s="89">
        <v>484207</v>
      </c>
      <c r="AB74" s="89">
        <v>70075</v>
      </c>
      <c r="AC74" s="89">
        <v>57628</v>
      </c>
      <c r="AD74" s="89">
        <v>874902</v>
      </c>
      <c r="AE74" s="89">
        <v>1100888</v>
      </c>
      <c r="AF74" s="89">
        <v>36721</v>
      </c>
      <c r="AG74" s="89">
        <v>476277</v>
      </c>
      <c r="AH74" s="89">
        <v>237752</v>
      </c>
      <c r="AI74" s="89">
        <v>138774</v>
      </c>
      <c r="AJ74" s="89">
        <v>17856</v>
      </c>
      <c r="AK74" s="89">
        <v>69352</v>
      </c>
      <c r="AL74" s="89">
        <v>64910</v>
      </c>
      <c r="AM74" s="89">
        <v>1057590</v>
      </c>
      <c r="AN74" s="89">
        <v>430726</v>
      </c>
      <c r="AO74" s="89">
        <v>20002</v>
      </c>
      <c r="AP74" s="89">
        <v>27992</v>
      </c>
      <c r="AQ74" s="89">
        <v>155084</v>
      </c>
      <c r="AR74" s="89">
        <v>24525</v>
      </c>
      <c r="AS74" s="89">
        <v>59197</v>
      </c>
      <c r="AT74" s="89">
        <v>9547860</v>
      </c>
      <c r="AU74" s="88" t="s">
        <v>312</v>
      </c>
      <c r="AV74" s="252" t="s">
        <v>91</v>
      </c>
      <c r="AW74" s="263"/>
    </row>
    <row r="75" spans="2:49" x14ac:dyDescent="0.35">
      <c r="B75" s="234"/>
      <c r="C75" s="251"/>
      <c r="D75" s="90" t="s">
        <v>345</v>
      </c>
      <c r="E75" s="91">
        <v>278011041.07999998</v>
      </c>
      <c r="F75" s="91">
        <v>29662568.760000002</v>
      </c>
      <c r="G75" s="91">
        <v>25919470.170000002</v>
      </c>
      <c r="H75" s="91">
        <v>553329339.95000005</v>
      </c>
      <c r="I75" s="91">
        <v>99654553.390000001</v>
      </c>
      <c r="J75" s="91">
        <v>75520375.450000003</v>
      </c>
      <c r="K75" s="91">
        <v>61362608.899999999</v>
      </c>
      <c r="L75" s="91">
        <v>813539129.96000004</v>
      </c>
      <c r="M75" s="91">
        <v>402914271.54000002</v>
      </c>
      <c r="N75" s="91">
        <v>659964712.85000002</v>
      </c>
      <c r="O75" s="91">
        <v>345882524.10000002</v>
      </c>
      <c r="P75" s="91">
        <v>191326426.27000001</v>
      </c>
      <c r="Q75" s="91">
        <v>557060719.03999996</v>
      </c>
      <c r="R75" s="91">
        <v>587596364.64999998</v>
      </c>
      <c r="S75" s="91">
        <v>367405722.19999999</v>
      </c>
      <c r="T75" s="91">
        <v>2278346.15</v>
      </c>
      <c r="U75" s="91">
        <v>141714359.24000001</v>
      </c>
      <c r="V75" s="91">
        <v>145303840.81999999</v>
      </c>
      <c r="W75" s="91">
        <v>69861320.209999993</v>
      </c>
      <c r="X75" s="91">
        <v>107047516.67</v>
      </c>
      <c r="Y75" s="91">
        <v>11896441.83</v>
      </c>
      <c r="Z75" s="91">
        <v>57828980.990000002</v>
      </c>
      <c r="AA75" s="91">
        <v>481224271.14999998</v>
      </c>
      <c r="AB75" s="91">
        <v>63105429.420000002</v>
      </c>
      <c r="AC75" s="91">
        <v>87801362.019999996</v>
      </c>
      <c r="AD75" s="91">
        <v>1428970040.21</v>
      </c>
      <c r="AE75" s="91">
        <v>3533636581.5100002</v>
      </c>
      <c r="AF75" s="91">
        <v>22660947.219999999</v>
      </c>
      <c r="AG75" s="91">
        <v>583054589.33000004</v>
      </c>
      <c r="AH75" s="91">
        <v>323108172.89999998</v>
      </c>
      <c r="AI75" s="91">
        <v>219966408.75</v>
      </c>
      <c r="AJ75" s="91">
        <v>17736359.510000002</v>
      </c>
      <c r="AK75" s="91">
        <v>146642570.94999999</v>
      </c>
      <c r="AL75" s="91">
        <v>139717299.84</v>
      </c>
      <c r="AM75" s="91">
        <v>1853842980.5699999</v>
      </c>
      <c r="AN75" s="91">
        <v>419558973.39999998</v>
      </c>
      <c r="AO75" s="91">
        <v>18758916.850000001</v>
      </c>
      <c r="AP75" s="91">
        <v>27890812.100000001</v>
      </c>
      <c r="AQ75" s="91">
        <v>392515763.79000002</v>
      </c>
      <c r="AR75" s="91">
        <v>23939459.219999999</v>
      </c>
      <c r="AS75" s="91">
        <v>42381642.609999999</v>
      </c>
      <c r="AT75" s="91">
        <v>15411593215.57</v>
      </c>
      <c r="AU75" s="90" t="s">
        <v>344</v>
      </c>
      <c r="AV75" s="253"/>
      <c r="AW75" s="263"/>
    </row>
    <row r="76" spans="2:49" x14ac:dyDescent="0.35">
      <c r="B76" s="234"/>
      <c r="C76" s="250" t="s">
        <v>76</v>
      </c>
      <c r="D76" s="88" t="s">
        <v>313</v>
      </c>
      <c r="E76" s="89">
        <v>199540</v>
      </c>
      <c r="F76" s="89">
        <v>14697</v>
      </c>
      <c r="G76" s="89">
        <v>34771</v>
      </c>
      <c r="H76" s="89">
        <v>296221</v>
      </c>
      <c r="I76" s="89">
        <v>15196</v>
      </c>
      <c r="J76" s="89">
        <v>48497</v>
      </c>
      <c r="K76" s="89">
        <v>24241</v>
      </c>
      <c r="L76" s="89">
        <v>624123</v>
      </c>
      <c r="M76" s="89">
        <v>246010</v>
      </c>
      <c r="N76" s="89">
        <v>304043</v>
      </c>
      <c r="O76" s="89">
        <v>264352</v>
      </c>
      <c r="P76" s="89">
        <v>151693</v>
      </c>
      <c r="Q76" s="89">
        <v>438404</v>
      </c>
      <c r="R76" s="89">
        <v>368215</v>
      </c>
      <c r="S76" s="89">
        <v>129645</v>
      </c>
      <c r="T76" s="89">
        <v>956</v>
      </c>
      <c r="U76" s="89">
        <v>63339</v>
      </c>
      <c r="V76" s="89">
        <v>68018</v>
      </c>
      <c r="W76" s="89">
        <v>33115</v>
      </c>
      <c r="X76" s="89">
        <v>58367</v>
      </c>
      <c r="Y76" s="89">
        <v>8543</v>
      </c>
      <c r="Z76" s="89">
        <v>29297</v>
      </c>
      <c r="AA76" s="89">
        <v>402451</v>
      </c>
      <c r="AB76" s="89">
        <v>81004</v>
      </c>
      <c r="AC76" s="89">
        <v>10387</v>
      </c>
      <c r="AD76" s="89">
        <v>944252</v>
      </c>
      <c r="AE76" s="89">
        <v>519398</v>
      </c>
      <c r="AF76" s="89">
        <v>34685</v>
      </c>
      <c r="AG76" s="89">
        <v>563234</v>
      </c>
      <c r="AH76" s="89">
        <v>142563</v>
      </c>
      <c r="AI76" s="89">
        <v>88895</v>
      </c>
      <c r="AJ76" s="89">
        <v>15825</v>
      </c>
      <c r="AK76" s="89">
        <v>42041</v>
      </c>
      <c r="AL76" s="89">
        <v>43635</v>
      </c>
      <c r="AM76" s="89">
        <v>1133002</v>
      </c>
      <c r="AN76" s="89">
        <v>364869</v>
      </c>
      <c r="AO76" s="89">
        <v>16434</v>
      </c>
      <c r="AP76" s="89">
        <v>24175</v>
      </c>
      <c r="AQ76" s="89">
        <v>175423</v>
      </c>
      <c r="AR76" s="89">
        <v>22296</v>
      </c>
      <c r="AS76" s="89">
        <v>72404</v>
      </c>
      <c r="AT76" s="89">
        <v>8118256</v>
      </c>
      <c r="AU76" s="88" t="s">
        <v>312</v>
      </c>
      <c r="AV76" s="252" t="s">
        <v>92</v>
      </c>
      <c r="AW76" s="263"/>
    </row>
    <row r="77" spans="2:49" x14ac:dyDescent="0.35">
      <c r="B77" s="234"/>
      <c r="C77" s="251"/>
      <c r="D77" s="90" t="s">
        <v>345</v>
      </c>
      <c r="E77" s="91">
        <v>295429546.44</v>
      </c>
      <c r="F77" s="91">
        <v>12706402.73</v>
      </c>
      <c r="G77" s="91">
        <v>37507606.450000003</v>
      </c>
      <c r="H77" s="91">
        <v>415004475.22000003</v>
      </c>
      <c r="I77" s="91">
        <v>30421513.27</v>
      </c>
      <c r="J77" s="91">
        <v>65511579.219999999</v>
      </c>
      <c r="K77" s="91">
        <v>34200033.770000003</v>
      </c>
      <c r="L77" s="91">
        <v>931560636.32000005</v>
      </c>
      <c r="M77" s="91">
        <v>541435364.22000003</v>
      </c>
      <c r="N77" s="91">
        <v>406731433.00999999</v>
      </c>
      <c r="O77" s="91">
        <v>217312264.55000001</v>
      </c>
      <c r="P77" s="91">
        <v>170510604.37</v>
      </c>
      <c r="Q77" s="91">
        <v>552507941.08000004</v>
      </c>
      <c r="R77" s="91">
        <v>570882296.47000003</v>
      </c>
      <c r="S77" s="91">
        <v>201594755.55000001</v>
      </c>
      <c r="T77" s="91">
        <v>371224.32000000001</v>
      </c>
      <c r="U77" s="91">
        <v>78460167.730000004</v>
      </c>
      <c r="V77" s="91">
        <v>90087229.689999998</v>
      </c>
      <c r="W77" s="91">
        <v>33519937.170000002</v>
      </c>
      <c r="X77" s="91">
        <v>192245039.59</v>
      </c>
      <c r="Y77" s="91">
        <v>16144423.59</v>
      </c>
      <c r="Z77" s="91">
        <v>32339950.609999999</v>
      </c>
      <c r="AA77" s="91">
        <v>326371519.05000001</v>
      </c>
      <c r="AB77" s="91">
        <v>65085087.509999998</v>
      </c>
      <c r="AC77" s="91">
        <v>15391849.26</v>
      </c>
      <c r="AD77" s="91">
        <v>1419439568.1500001</v>
      </c>
      <c r="AE77" s="91">
        <v>600675590.5</v>
      </c>
      <c r="AF77" s="91">
        <v>26432103.09</v>
      </c>
      <c r="AG77" s="91">
        <v>584965237.42999995</v>
      </c>
      <c r="AH77" s="91">
        <v>171197150.41999999</v>
      </c>
      <c r="AI77" s="91">
        <v>96371748.319999993</v>
      </c>
      <c r="AJ77" s="91">
        <v>15341671.119999999</v>
      </c>
      <c r="AK77" s="91">
        <v>61239502.549999997</v>
      </c>
      <c r="AL77" s="91">
        <v>37390787.939999998</v>
      </c>
      <c r="AM77" s="91">
        <v>2162637660.79</v>
      </c>
      <c r="AN77" s="91">
        <v>276203717.02999997</v>
      </c>
      <c r="AO77" s="91">
        <v>25524858.149999999</v>
      </c>
      <c r="AP77" s="91">
        <v>13293623.6</v>
      </c>
      <c r="AQ77" s="91">
        <v>372359988.27999997</v>
      </c>
      <c r="AR77" s="91">
        <v>26903108.050000001</v>
      </c>
      <c r="AS77" s="91">
        <v>37500766.880000003</v>
      </c>
      <c r="AT77" s="91">
        <v>11260809963.49</v>
      </c>
      <c r="AU77" s="90" t="s">
        <v>344</v>
      </c>
      <c r="AV77" s="253"/>
      <c r="AW77" s="263"/>
    </row>
    <row r="78" spans="2:49" x14ac:dyDescent="0.35">
      <c r="B78" s="234"/>
      <c r="C78" s="250" t="s">
        <v>77</v>
      </c>
      <c r="D78" s="88" t="s">
        <v>313</v>
      </c>
      <c r="E78" s="89">
        <v>88285</v>
      </c>
      <c r="F78" s="89">
        <v>10351</v>
      </c>
      <c r="G78" s="89">
        <v>6188</v>
      </c>
      <c r="H78" s="89">
        <v>230130</v>
      </c>
      <c r="I78" s="89">
        <v>21519</v>
      </c>
      <c r="J78" s="89">
        <v>46868</v>
      </c>
      <c r="K78" s="89">
        <v>6196</v>
      </c>
      <c r="L78" s="89">
        <v>312886</v>
      </c>
      <c r="M78" s="89">
        <v>130192</v>
      </c>
      <c r="N78" s="89">
        <v>179047</v>
      </c>
      <c r="O78" s="89">
        <v>231684</v>
      </c>
      <c r="P78" s="89">
        <v>131360</v>
      </c>
      <c r="Q78" s="89">
        <v>471299</v>
      </c>
      <c r="R78" s="89">
        <v>363371</v>
      </c>
      <c r="S78" s="89">
        <v>120212</v>
      </c>
      <c r="T78" s="89">
        <v>14662</v>
      </c>
      <c r="U78" s="89">
        <v>54830</v>
      </c>
      <c r="V78" s="89">
        <v>99349</v>
      </c>
      <c r="W78" s="89">
        <v>29382</v>
      </c>
      <c r="X78" s="89">
        <v>46416</v>
      </c>
      <c r="Y78" s="89">
        <v>6678</v>
      </c>
      <c r="Z78" s="89">
        <v>24632</v>
      </c>
      <c r="AA78" s="89">
        <v>406722</v>
      </c>
      <c r="AB78" s="89">
        <v>82356</v>
      </c>
      <c r="AC78" s="89">
        <v>11802</v>
      </c>
      <c r="AD78" s="89">
        <v>813118</v>
      </c>
      <c r="AE78" s="89">
        <v>611476</v>
      </c>
      <c r="AF78" s="89">
        <v>33679</v>
      </c>
      <c r="AG78" s="89">
        <v>430852</v>
      </c>
      <c r="AH78" s="89">
        <v>86793</v>
      </c>
      <c r="AI78" s="89">
        <v>76844</v>
      </c>
      <c r="AJ78" s="89">
        <v>18350</v>
      </c>
      <c r="AK78" s="89">
        <v>37034</v>
      </c>
      <c r="AL78" s="89">
        <v>40545</v>
      </c>
      <c r="AM78" s="89">
        <v>1023760</v>
      </c>
      <c r="AN78" s="89">
        <v>425686</v>
      </c>
      <c r="AO78" s="89">
        <v>17307</v>
      </c>
      <c r="AP78" s="89">
        <v>23345</v>
      </c>
      <c r="AQ78" s="89">
        <v>146721</v>
      </c>
      <c r="AR78" s="89">
        <v>18982</v>
      </c>
      <c r="AS78" s="89">
        <v>55039</v>
      </c>
      <c r="AT78" s="89">
        <v>6985948</v>
      </c>
      <c r="AU78" s="88" t="s">
        <v>312</v>
      </c>
      <c r="AV78" s="252" t="s">
        <v>93</v>
      </c>
      <c r="AW78" s="263"/>
    </row>
    <row r="79" spans="2:49" x14ac:dyDescent="0.35">
      <c r="B79" s="234"/>
      <c r="C79" s="251"/>
      <c r="D79" s="90" t="s">
        <v>345</v>
      </c>
      <c r="E79" s="91">
        <v>76248185.230000004</v>
      </c>
      <c r="F79" s="91">
        <v>7574670.25</v>
      </c>
      <c r="G79" s="91">
        <v>3356897.15</v>
      </c>
      <c r="H79" s="91">
        <v>321168129.26999998</v>
      </c>
      <c r="I79" s="91">
        <v>58309352.100000001</v>
      </c>
      <c r="J79" s="91">
        <v>37579416.520000003</v>
      </c>
      <c r="K79" s="91">
        <v>4134621.71</v>
      </c>
      <c r="L79" s="91">
        <v>399521942.14999998</v>
      </c>
      <c r="M79" s="91">
        <v>151679575.84</v>
      </c>
      <c r="N79" s="91">
        <v>140809508.69999999</v>
      </c>
      <c r="O79" s="91">
        <v>280632021.77999997</v>
      </c>
      <c r="P79" s="91">
        <v>154437156.80000001</v>
      </c>
      <c r="Q79" s="91">
        <v>541289314.51999998</v>
      </c>
      <c r="R79" s="91">
        <v>565117426.17999995</v>
      </c>
      <c r="S79" s="91">
        <v>155105516.97</v>
      </c>
      <c r="T79" s="91">
        <v>10995017.02</v>
      </c>
      <c r="U79" s="91">
        <v>123360079.22</v>
      </c>
      <c r="V79" s="91">
        <v>83888455.450000003</v>
      </c>
      <c r="W79" s="91">
        <v>31884949.219999999</v>
      </c>
      <c r="X79" s="91">
        <v>64142365.68</v>
      </c>
      <c r="Y79" s="91">
        <v>7294351.9500000002</v>
      </c>
      <c r="Z79" s="91">
        <v>21842669.66</v>
      </c>
      <c r="AA79" s="91">
        <v>374451285.39999998</v>
      </c>
      <c r="AB79" s="91">
        <v>120847606.28</v>
      </c>
      <c r="AC79" s="91">
        <v>10639341.310000001</v>
      </c>
      <c r="AD79" s="91">
        <v>1018082413.85</v>
      </c>
      <c r="AE79" s="91">
        <v>694943628.44000006</v>
      </c>
      <c r="AF79" s="91">
        <v>18489343.73</v>
      </c>
      <c r="AG79" s="91">
        <v>373962571.50999999</v>
      </c>
      <c r="AH79" s="91">
        <v>54103505.219999999</v>
      </c>
      <c r="AI79" s="91">
        <v>81574119.549999997</v>
      </c>
      <c r="AJ79" s="91">
        <v>12434825.41</v>
      </c>
      <c r="AK79" s="91">
        <v>110487510.98</v>
      </c>
      <c r="AL79" s="91">
        <v>51187517.609999999</v>
      </c>
      <c r="AM79" s="91">
        <v>1655841036.5699999</v>
      </c>
      <c r="AN79" s="91">
        <v>416282444.82999998</v>
      </c>
      <c r="AO79" s="91">
        <v>14825036.119999999</v>
      </c>
      <c r="AP79" s="91">
        <v>37165351.090000004</v>
      </c>
      <c r="AQ79" s="91">
        <v>285049418.14999998</v>
      </c>
      <c r="AR79" s="91">
        <v>13818118.01</v>
      </c>
      <c r="AS79" s="91">
        <v>42201606.899999999</v>
      </c>
      <c r="AT79" s="91">
        <v>8626758304.3299999</v>
      </c>
      <c r="AU79" s="90" t="s">
        <v>344</v>
      </c>
      <c r="AV79" s="253"/>
      <c r="AW79" s="263"/>
    </row>
    <row r="80" spans="2:49" x14ac:dyDescent="0.35">
      <c r="B80" s="234"/>
      <c r="C80" s="250" t="s">
        <v>78</v>
      </c>
      <c r="D80" s="88" t="s">
        <v>313</v>
      </c>
      <c r="E80" s="89">
        <v>41437</v>
      </c>
      <c r="F80" s="89">
        <v>8497</v>
      </c>
      <c r="G80" s="89">
        <v>12613</v>
      </c>
      <c r="H80" s="89">
        <v>224827</v>
      </c>
      <c r="I80" s="89">
        <v>6234</v>
      </c>
      <c r="J80" s="89">
        <v>45071</v>
      </c>
      <c r="K80" s="89">
        <v>30083</v>
      </c>
      <c r="L80" s="89">
        <v>168714</v>
      </c>
      <c r="M80" s="89">
        <v>87340</v>
      </c>
      <c r="N80" s="89">
        <v>188029</v>
      </c>
      <c r="O80" s="89">
        <v>273028</v>
      </c>
      <c r="P80" s="89">
        <v>134893</v>
      </c>
      <c r="Q80" s="89">
        <v>390744</v>
      </c>
      <c r="R80" s="89">
        <v>293960</v>
      </c>
      <c r="S80" s="89">
        <v>130873</v>
      </c>
      <c r="T80" s="89">
        <v>11086</v>
      </c>
      <c r="U80" s="89">
        <v>65662</v>
      </c>
      <c r="V80" s="89">
        <v>76721</v>
      </c>
      <c r="W80" s="89">
        <v>25267</v>
      </c>
      <c r="X80" s="89">
        <v>59082</v>
      </c>
      <c r="Y80" s="89">
        <v>6024</v>
      </c>
      <c r="Z80" s="89">
        <v>27227</v>
      </c>
      <c r="AA80" s="89">
        <v>350779</v>
      </c>
      <c r="AB80" s="89">
        <v>70231</v>
      </c>
      <c r="AC80" s="89">
        <v>6632</v>
      </c>
      <c r="AD80" s="89">
        <v>686880</v>
      </c>
      <c r="AE80" s="89">
        <v>488580</v>
      </c>
      <c r="AF80" s="89">
        <v>34380</v>
      </c>
      <c r="AG80" s="89">
        <v>248785</v>
      </c>
      <c r="AH80" s="89">
        <v>125899</v>
      </c>
      <c r="AI80" s="89">
        <v>85600</v>
      </c>
      <c r="AJ80" s="89">
        <v>11195</v>
      </c>
      <c r="AK80" s="89">
        <v>37194</v>
      </c>
      <c r="AL80" s="89">
        <v>35798</v>
      </c>
      <c r="AM80" s="89">
        <v>980184</v>
      </c>
      <c r="AN80" s="89">
        <v>377786</v>
      </c>
      <c r="AO80" s="89">
        <v>15862</v>
      </c>
      <c r="AP80" s="89">
        <v>24773</v>
      </c>
      <c r="AQ80" s="89">
        <v>136733</v>
      </c>
      <c r="AR80" s="89">
        <v>16485</v>
      </c>
      <c r="AS80" s="89">
        <v>32639</v>
      </c>
      <c r="AT80" s="89">
        <v>6073827</v>
      </c>
      <c r="AU80" s="88" t="s">
        <v>312</v>
      </c>
      <c r="AV80" s="252" t="s">
        <v>94</v>
      </c>
      <c r="AW80" s="263"/>
    </row>
    <row r="81" spans="2:49" x14ac:dyDescent="0.35">
      <c r="B81" s="234"/>
      <c r="C81" s="251"/>
      <c r="D81" s="90" t="s">
        <v>345</v>
      </c>
      <c r="E81" s="91">
        <v>37418033.579999998</v>
      </c>
      <c r="F81" s="91">
        <v>5113630.0199999996</v>
      </c>
      <c r="G81" s="91">
        <v>9911204.3300000001</v>
      </c>
      <c r="H81" s="91">
        <v>179524426.15000001</v>
      </c>
      <c r="I81" s="91">
        <v>3591462.13</v>
      </c>
      <c r="J81" s="91">
        <v>31787277.800000001</v>
      </c>
      <c r="K81" s="91">
        <v>54377075.710000001</v>
      </c>
      <c r="L81" s="91">
        <v>225589957.31999999</v>
      </c>
      <c r="M81" s="91">
        <v>104359352.56</v>
      </c>
      <c r="N81" s="91">
        <v>257294400.72999999</v>
      </c>
      <c r="O81" s="91">
        <v>458803301.77999997</v>
      </c>
      <c r="P81" s="91">
        <v>143342212.66</v>
      </c>
      <c r="Q81" s="91">
        <v>495603377.54000002</v>
      </c>
      <c r="R81" s="91">
        <v>428559951.31</v>
      </c>
      <c r="S81" s="91">
        <v>296157811.41000003</v>
      </c>
      <c r="T81" s="91">
        <v>7413980</v>
      </c>
      <c r="U81" s="91">
        <v>90098490.930000007</v>
      </c>
      <c r="V81" s="91">
        <v>79183417.200000003</v>
      </c>
      <c r="W81" s="91">
        <v>24089099.41</v>
      </c>
      <c r="X81" s="91">
        <v>67748592.459999993</v>
      </c>
      <c r="Y81" s="91">
        <v>7404850.2199999997</v>
      </c>
      <c r="Z81" s="91">
        <v>48869733.490000002</v>
      </c>
      <c r="AA81" s="91">
        <v>339644857.32999998</v>
      </c>
      <c r="AB81" s="91">
        <v>77314511.890000001</v>
      </c>
      <c r="AC81" s="91">
        <v>2942165.36</v>
      </c>
      <c r="AD81" s="91">
        <v>1052886098.52</v>
      </c>
      <c r="AE81" s="91">
        <v>495147483.88999999</v>
      </c>
      <c r="AF81" s="91">
        <v>29526451.18</v>
      </c>
      <c r="AG81" s="91">
        <v>237414635.16</v>
      </c>
      <c r="AH81" s="91">
        <v>118754064.43000001</v>
      </c>
      <c r="AI81" s="91">
        <v>203629194.69999999</v>
      </c>
      <c r="AJ81" s="91">
        <v>18180270.850000001</v>
      </c>
      <c r="AK81" s="91">
        <v>55949895.460000001</v>
      </c>
      <c r="AL81" s="91">
        <v>42640185.380000003</v>
      </c>
      <c r="AM81" s="91">
        <v>1998078854.24</v>
      </c>
      <c r="AN81" s="91">
        <v>329297140.19</v>
      </c>
      <c r="AO81" s="91">
        <v>15261908.939999999</v>
      </c>
      <c r="AP81" s="91">
        <v>11912357.119999999</v>
      </c>
      <c r="AQ81" s="91">
        <v>185332385.96000001</v>
      </c>
      <c r="AR81" s="91">
        <v>15202190.16</v>
      </c>
      <c r="AS81" s="91">
        <v>23529019.260000002</v>
      </c>
      <c r="AT81" s="91">
        <v>8308885308.7600002</v>
      </c>
      <c r="AU81" s="90" t="s">
        <v>344</v>
      </c>
      <c r="AV81" s="253"/>
      <c r="AW81" s="263"/>
    </row>
    <row r="82" spans="2:49" x14ac:dyDescent="0.35">
      <c r="B82" s="234"/>
      <c r="C82" s="250" t="s">
        <v>79</v>
      </c>
      <c r="D82" s="88" t="s">
        <v>313</v>
      </c>
      <c r="E82" s="89">
        <v>28564</v>
      </c>
      <c r="F82" s="89">
        <v>1993</v>
      </c>
      <c r="G82" s="89">
        <v>9512</v>
      </c>
      <c r="H82" s="89">
        <v>250590</v>
      </c>
      <c r="I82" s="89">
        <v>2448</v>
      </c>
      <c r="J82" s="89">
        <v>39283</v>
      </c>
      <c r="K82" s="89">
        <v>28866</v>
      </c>
      <c r="L82" s="89">
        <v>134405</v>
      </c>
      <c r="M82" s="89">
        <v>89663</v>
      </c>
      <c r="N82" s="89">
        <v>181819</v>
      </c>
      <c r="O82" s="89">
        <v>295390</v>
      </c>
      <c r="P82" s="89">
        <v>150652</v>
      </c>
      <c r="Q82" s="89">
        <v>326371</v>
      </c>
      <c r="R82" s="89">
        <v>299352</v>
      </c>
      <c r="S82" s="89">
        <v>117068</v>
      </c>
      <c r="T82" s="89">
        <v>7326</v>
      </c>
      <c r="U82" s="89">
        <v>68067</v>
      </c>
      <c r="V82" s="89">
        <v>105671</v>
      </c>
      <c r="W82" s="89">
        <v>25870</v>
      </c>
      <c r="X82" s="89">
        <v>57314</v>
      </c>
      <c r="Y82" s="89">
        <v>6417</v>
      </c>
      <c r="Z82" s="89">
        <v>30363</v>
      </c>
      <c r="AA82" s="89">
        <v>336856</v>
      </c>
      <c r="AB82" s="89">
        <v>67439</v>
      </c>
      <c r="AC82" s="89">
        <v>9663</v>
      </c>
      <c r="AD82" s="89">
        <v>719362</v>
      </c>
      <c r="AE82" s="89">
        <v>506222</v>
      </c>
      <c r="AF82" s="89">
        <v>33327</v>
      </c>
      <c r="AG82" s="89">
        <v>202874</v>
      </c>
      <c r="AH82" s="89">
        <v>148731</v>
      </c>
      <c r="AI82" s="89">
        <v>85706</v>
      </c>
      <c r="AJ82" s="89">
        <v>2165</v>
      </c>
      <c r="AK82" s="89">
        <v>49925</v>
      </c>
      <c r="AL82" s="89">
        <v>33417</v>
      </c>
      <c r="AM82" s="89">
        <v>1111649</v>
      </c>
      <c r="AN82" s="89">
        <v>364459</v>
      </c>
      <c r="AO82" s="89">
        <v>17700</v>
      </c>
      <c r="AP82" s="89">
        <v>25474</v>
      </c>
      <c r="AQ82" s="89">
        <v>183050</v>
      </c>
      <c r="AR82" s="89">
        <v>15883</v>
      </c>
      <c r="AS82" s="89">
        <v>31113</v>
      </c>
      <c r="AT82" s="89">
        <v>6202019</v>
      </c>
      <c r="AU82" s="88" t="s">
        <v>312</v>
      </c>
      <c r="AV82" s="252" t="s">
        <v>95</v>
      </c>
      <c r="AW82" s="263"/>
    </row>
    <row r="83" spans="2:49" x14ac:dyDescent="0.35">
      <c r="B83" s="234"/>
      <c r="C83" s="251"/>
      <c r="D83" s="90" t="s">
        <v>345</v>
      </c>
      <c r="E83" s="91">
        <v>32296448.219999999</v>
      </c>
      <c r="F83" s="91">
        <v>1134369.1100000001</v>
      </c>
      <c r="G83" s="91">
        <v>12842867.32</v>
      </c>
      <c r="H83" s="91">
        <v>449492715.42000002</v>
      </c>
      <c r="I83" s="91">
        <v>7282331.2000000002</v>
      </c>
      <c r="J83" s="91">
        <v>81228021.569999993</v>
      </c>
      <c r="K83" s="91">
        <v>21247686.620000001</v>
      </c>
      <c r="L83" s="91">
        <v>185222085.22</v>
      </c>
      <c r="M83" s="91">
        <v>172570189.30000001</v>
      </c>
      <c r="N83" s="91">
        <v>266138823.84999999</v>
      </c>
      <c r="O83" s="91">
        <v>334068315.32999998</v>
      </c>
      <c r="P83" s="91">
        <v>199215821.78999999</v>
      </c>
      <c r="Q83" s="91">
        <v>446470905.64999998</v>
      </c>
      <c r="R83" s="91">
        <v>424512717.42000002</v>
      </c>
      <c r="S83" s="91">
        <v>179342445.18000001</v>
      </c>
      <c r="T83" s="91">
        <v>3296790.84</v>
      </c>
      <c r="U83" s="91">
        <v>89286760.959999993</v>
      </c>
      <c r="V83" s="91">
        <v>141362975.84</v>
      </c>
      <c r="W83" s="91">
        <v>47527996.799999997</v>
      </c>
      <c r="X83" s="91">
        <v>86777141.549999997</v>
      </c>
      <c r="Y83" s="91">
        <v>8009785.1200000001</v>
      </c>
      <c r="Z83" s="91">
        <v>41735116.450000003</v>
      </c>
      <c r="AA83" s="91">
        <v>296807628.52999997</v>
      </c>
      <c r="AB83" s="91">
        <v>57194837.18</v>
      </c>
      <c r="AC83" s="91">
        <v>11249625.039999999</v>
      </c>
      <c r="AD83" s="91">
        <v>894956912.94000006</v>
      </c>
      <c r="AE83" s="91">
        <v>455017461.11000001</v>
      </c>
      <c r="AF83" s="91">
        <v>17162198.989999998</v>
      </c>
      <c r="AG83" s="91">
        <v>149236452.22999999</v>
      </c>
      <c r="AH83" s="91">
        <v>191023110.21000001</v>
      </c>
      <c r="AI83" s="91">
        <v>267530293.25999999</v>
      </c>
      <c r="AJ83" s="91">
        <v>2554025.86</v>
      </c>
      <c r="AK83" s="91">
        <v>80390982.670000002</v>
      </c>
      <c r="AL83" s="91">
        <v>48342559.289999999</v>
      </c>
      <c r="AM83" s="91">
        <v>2311307066.2800002</v>
      </c>
      <c r="AN83" s="91">
        <v>722275673.32000005</v>
      </c>
      <c r="AO83" s="91">
        <v>13628492.76</v>
      </c>
      <c r="AP83" s="91">
        <v>12713345.369999999</v>
      </c>
      <c r="AQ83" s="91">
        <v>267026200.43000001</v>
      </c>
      <c r="AR83" s="91">
        <v>22198426.41</v>
      </c>
      <c r="AS83" s="91">
        <v>18232322.68</v>
      </c>
      <c r="AT83" s="91">
        <v>9069909925.3199997</v>
      </c>
      <c r="AU83" s="90" t="s">
        <v>344</v>
      </c>
      <c r="AV83" s="253"/>
      <c r="AW83" s="263"/>
    </row>
    <row r="84" spans="2:49" x14ac:dyDescent="0.35">
      <c r="B84" s="234"/>
      <c r="C84" s="250" t="s">
        <v>80</v>
      </c>
      <c r="D84" s="88" t="s">
        <v>313</v>
      </c>
      <c r="E84" s="89">
        <v>33553</v>
      </c>
      <c r="F84" s="89">
        <v>8464</v>
      </c>
      <c r="G84" s="89">
        <v>11705</v>
      </c>
      <c r="H84" s="89">
        <v>333943</v>
      </c>
      <c r="I84" s="89">
        <v>19768</v>
      </c>
      <c r="J84" s="89">
        <v>68143</v>
      </c>
      <c r="K84" s="89">
        <v>32892</v>
      </c>
      <c r="L84" s="89">
        <v>154224</v>
      </c>
      <c r="M84" s="89">
        <v>94501</v>
      </c>
      <c r="N84" s="89">
        <v>249725</v>
      </c>
      <c r="O84" s="89">
        <v>255220</v>
      </c>
      <c r="P84" s="89">
        <v>210188</v>
      </c>
      <c r="Q84" s="89">
        <v>514680</v>
      </c>
      <c r="R84" s="89">
        <v>423992</v>
      </c>
      <c r="S84" s="89">
        <v>199668</v>
      </c>
      <c r="T84" s="89">
        <v>16718</v>
      </c>
      <c r="U84" s="89">
        <v>114868</v>
      </c>
      <c r="V84" s="89">
        <v>282657</v>
      </c>
      <c r="W84" s="89">
        <v>33037</v>
      </c>
      <c r="X84" s="89">
        <v>93390</v>
      </c>
      <c r="Y84" s="89">
        <v>9217</v>
      </c>
      <c r="Z84" s="89">
        <v>49553</v>
      </c>
      <c r="AA84" s="89">
        <v>504795</v>
      </c>
      <c r="AB84" s="89">
        <v>97026</v>
      </c>
      <c r="AC84" s="89">
        <v>27151</v>
      </c>
      <c r="AD84" s="89">
        <v>960874</v>
      </c>
      <c r="AE84" s="89">
        <v>699165</v>
      </c>
      <c r="AF84" s="89">
        <v>43485</v>
      </c>
      <c r="AG84" s="89">
        <v>274391</v>
      </c>
      <c r="AH84" s="89">
        <v>165522</v>
      </c>
      <c r="AI84" s="89">
        <v>85494</v>
      </c>
      <c r="AJ84" s="89">
        <v>14915</v>
      </c>
      <c r="AK84" s="89">
        <v>53667</v>
      </c>
      <c r="AL84" s="89">
        <v>57588</v>
      </c>
      <c r="AM84" s="89">
        <v>1358186</v>
      </c>
      <c r="AN84" s="89">
        <v>407009</v>
      </c>
      <c r="AO84" s="89">
        <v>18827</v>
      </c>
      <c r="AP84" s="89">
        <v>28005</v>
      </c>
      <c r="AQ84" s="89">
        <v>156745</v>
      </c>
      <c r="AR84" s="89">
        <v>21653</v>
      </c>
      <c r="AS84" s="89">
        <v>35723</v>
      </c>
      <c r="AT84" s="89">
        <v>8220327</v>
      </c>
      <c r="AU84" s="88" t="s">
        <v>312</v>
      </c>
      <c r="AV84" s="252" t="s">
        <v>96</v>
      </c>
      <c r="AW84" s="263"/>
    </row>
    <row r="85" spans="2:49" x14ac:dyDescent="0.35">
      <c r="B85" s="234"/>
      <c r="C85" s="251"/>
      <c r="D85" s="90" t="s">
        <v>345</v>
      </c>
      <c r="E85" s="91">
        <v>27131911.449999999</v>
      </c>
      <c r="F85" s="91">
        <v>5688517.2800000003</v>
      </c>
      <c r="G85" s="91">
        <v>6760470.0099999998</v>
      </c>
      <c r="H85" s="91">
        <v>365391151.72000003</v>
      </c>
      <c r="I85" s="91">
        <v>29866170.899999999</v>
      </c>
      <c r="J85" s="91">
        <v>53230351.460000001</v>
      </c>
      <c r="K85" s="91">
        <v>49502289.549999997</v>
      </c>
      <c r="L85" s="91">
        <v>183455031.65000001</v>
      </c>
      <c r="M85" s="91">
        <v>91872716.040000007</v>
      </c>
      <c r="N85" s="91">
        <v>366602561.13</v>
      </c>
      <c r="O85" s="91">
        <v>268787182.26999998</v>
      </c>
      <c r="P85" s="91">
        <v>297600217.06</v>
      </c>
      <c r="Q85" s="91">
        <v>760832269.75</v>
      </c>
      <c r="R85" s="91">
        <v>325044799.10000002</v>
      </c>
      <c r="S85" s="91">
        <v>236215109.88</v>
      </c>
      <c r="T85" s="91">
        <v>19668938.34</v>
      </c>
      <c r="U85" s="91">
        <v>116347980.08</v>
      </c>
      <c r="V85" s="91">
        <v>413678873.67000002</v>
      </c>
      <c r="W85" s="91">
        <v>36655669.880000003</v>
      </c>
      <c r="X85" s="91">
        <v>128825229.09</v>
      </c>
      <c r="Y85" s="91">
        <v>24774867.760000002</v>
      </c>
      <c r="Z85" s="91">
        <v>63030459.039999999</v>
      </c>
      <c r="AA85" s="91">
        <v>467635597.44</v>
      </c>
      <c r="AB85" s="91">
        <v>82886415.760000005</v>
      </c>
      <c r="AC85" s="91">
        <v>29241979.100000001</v>
      </c>
      <c r="AD85" s="91">
        <v>1203979997.4300001</v>
      </c>
      <c r="AE85" s="91">
        <v>666366697.15999997</v>
      </c>
      <c r="AF85" s="91">
        <v>25719997.41</v>
      </c>
      <c r="AG85" s="91">
        <v>184737329.96000001</v>
      </c>
      <c r="AH85" s="91">
        <v>175754481.68000001</v>
      </c>
      <c r="AI85" s="91">
        <v>186926683.75</v>
      </c>
      <c r="AJ85" s="91">
        <v>19198144.399999999</v>
      </c>
      <c r="AK85" s="91">
        <v>177386695.06999999</v>
      </c>
      <c r="AL85" s="91">
        <v>67550714.459999993</v>
      </c>
      <c r="AM85" s="91">
        <v>2829829956.0700002</v>
      </c>
      <c r="AN85" s="91">
        <v>421854641.80000001</v>
      </c>
      <c r="AO85" s="91">
        <v>18150778.780000001</v>
      </c>
      <c r="AP85" s="91">
        <v>16885230.530000001</v>
      </c>
      <c r="AQ85" s="91">
        <v>271540985.07999998</v>
      </c>
      <c r="AR85" s="91">
        <v>32532632.120000001</v>
      </c>
      <c r="AS85" s="91">
        <v>20074800.98</v>
      </c>
      <c r="AT85" s="91">
        <v>10769216526.09</v>
      </c>
      <c r="AU85" s="90" t="s">
        <v>344</v>
      </c>
      <c r="AV85" s="253"/>
      <c r="AW85" s="263"/>
    </row>
    <row r="86" spans="2:49" x14ac:dyDescent="0.35">
      <c r="B86" s="234"/>
      <c r="C86" s="250" t="s">
        <v>81</v>
      </c>
      <c r="D86" s="88" t="s">
        <v>313</v>
      </c>
      <c r="E86" s="89">
        <v>28361</v>
      </c>
      <c r="F86" s="89">
        <v>3772</v>
      </c>
      <c r="G86" s="89">
        <v>11592</v>
      </c>
      <c r="H86" s="89">
        <v>261546</v>
      </c>
      <c r="I86" s="89">
        <v>8649</v>
      </c>
      <c r="J86" s="89">
        <v>44703</v>
      </c>
      <c r="K86" s="89">
        <v>19861</v>
      </c>
      <c r="L86" s="89">
        <v>125799</v>
      </c>
      <c r="M86" s="89">
        <v>79891</v>
      </c>
      <c r="N86" s="89">
        <v>214018</v>
      </c>
      <c r="O86" s="89">
        <v>223637</v>
      </c>
      <c r="P86" s="89">
        <v>135925</v>
      </c>
      <c r="Q86" s="89">
        <v>276564</v>
      </c>
      <c r="R86" s="89">
        <v>381869</v>
      </c>
      <c r="S86" s="89">
        <v>129479</v>
      </c>
      <c r="T86" s="89">
        <v>2070</v>
      </c>
      <c r="U86" s="89">
        <v>108892</v>
      </c>
      <c r="V86" s="89">
        <v>232638</v>
      </c>
      <c r="W86" s="89">
        <v>24783</v>
      </c>
      <c r="X86" s="89">
        <v>55271</v>
      </c>
      <c r="Y86" s="89">
        <v>6657</v>
      </c>
      <c r="Z86" s="89">
        <v>45380</v>
      </c>
      <c r="AA86" s="89">
        <v>360695</v>
      </c>
      <c r="AB86" s="89">
        <v>72816</v>
      </c>
      <c r="AC86" s="89">
        <v>24529</v>
      </c>
      <c r="AD86" s="89">
        <v>785754</v>
      </c>
      <c r="AE86" s="89">
        <v>530369</v>
      </c>
      <c r="AF86" s="89">
        <v>35948</v>
      </c>
      <c r="AG86" s="89">
        <v>169924</v>
      </c>
      <c r="AH86" s="89">
        <v>136118</v>
      </c>
      <c r="AI86" s="89">
        <v>80892</v>
      </c>
      <c r="AJ86" s="89">
        <v>17922</v>
      </c>
      <c r="AK86" s="89">
        <v>42180</v>
      </c>
      <c r="AL86" s="89">
        <v>40283</v>
      </c>
      <c r="AM86" s="89">
        <v>1187891</v>
      </c>
      <c r="AN86" s="89">
        <v>345484</v>
      </c>
      <c r="AO86" s="89">
        <v>16349</v>
      </c>
      <c r="AP86" s="89">
        <v>27892</v>
      </c>
      <c r="AQ86" s="89">
        <v>146172</v>
      </c>
      <c r="AR86" s="89">
        <v>16877</v>
      </c>
      <c r="AS86" s="89">
        <v>24637</v>
      </c>
      <c r="AT86" s="89">
        <v>6484089</v>
      </c>
      <c r="AU86" s="88" t="s">
        <v>312</v>
      </c>
      <c r="AV86" s="252" t="s">
        <v>97</v>
      </c>
      <c r="AW86" s="263"/>
    </row>
    <row r="87" spans="2:49" x14ac:dyDescent="0.35">
      <c r="B87" s="235"/>
      <c r="C87" s="251"/>
      <c r="D87" s="90" t="s">
        <v>345</v>
      </c>
      <c r="E87" s="91">
        <v>32846665.84</v>
      </c>
      <c r="F87" s="91">
        <v>1871258.74</v>
      </c>
      <c r="G87" s="91">
        <v>11029545.949999999</v>
      </c>
      <c r="H87" s="91">
        <v>344560826.27999997</v>
      </c>
      <c r="I87" s="91">
        <v>8659822.1899999995</v>
      </c>
      <c r="J87" s="91">
        <v>59850642.009999998</v>
      </c>
      <c r="K87" s="91">
        <v>14405599.59</v>
      </c>
      <c r="L87" s="91">
        <v>205029395.99000001</v>
      </c>
      <c r="M87" s="91">
        <v>122524117.05</v>
      </c>
      <c r="N87" s="91">
        <v>333232857.66000003</v>
      </c>
      <c r="O87" s="91">
        <v>211743392.77000001</v>
      </c>
      <c r="P87" s="91">
        <v>144099941.41999999</v>
      </c>
      <c r="Q87" s="91">
        <v>415618520.72000003</v>
      </c>
      <c r="R87" s="91">
        <v>335082386.38</v>
      </c>
      <c r="S87" s="91">
        <v>232803880.19</v>
      </c>
      <c r="T87" s="91">
        <v>804973.04</v>
      </c>
      <c r="U87" s="91">
        <v>167285860.16999999</v>
      </c>
      <c r="V87" s="91">
        <v>183310037.03</v>
      </c>
      <c r="W87" s="91">
        <v>35975894.399999999</v>
      </c>
      <c r="X87" s="91">
        <v>69674439.530000001</v>
      </c>
      <c r="Y87" s="91">
        <v>4992424.32</v>
      </c>
      <c r="Z87" s="91">
        <v>68225703.730000004</v>
      </c>
      <c r="AA87" s="91">
        <v>415441109.13</v>
      </c>
      <c r="AB87" s="91">
        <v>94109036.950000003</v>
      </c>
      <c r="AC87" s="91">
        <v>19024140.09</v>
      </c>
      <c r="AD87" s="91">
        <v>1011362844.74</v>
      </c>
      <c r="AE87" s="91">
        <v>460385285.56999999</v>
      </c>
      <c r="AF87" s="91">
        <v>20609983.559999999</v>
      </c>
      <c r="AG87" s="91">
        <v>135501953.72999999</v>
      </c>
      <c r="AH87" s="91">
        <v>85144941.260000005</v>
      </c>
      <c r="AI87" s="91">
        <v>245607254.52000001</v>
      </c>
      <c r="AJ87" s="91">
        <v>33116511.690000001</v>
      </c>
      <c r="AK87" s="91">
        <v>88147518.560000002</v>
      </c>
      <c r="AL87" s="91">
        <v>96604531.170000002</v>
      </c>
      <c r="AM87" s="91">
        <v>2617797034.9200001</v>
      </c>
      <c r="AN87" s="91">
        <v>360330612.98000002</v>
      </c>
      <c r="AO87" s="91">
        <v>15605941.84</v>
      </c>
      <c r="AP87" s="91">
        <v>11596208.23</v>
      </c>
      <c r="AQ87" s="91">
        <v>377369000.10000002</v>
      </c>
      <c r="AR87" s="91">
        <v>14315435.880000001</v>
      </c>
      <c r="AS87" s="91">
        <v>14288707.17</v>
      </c>
      <c r="AT87" s="91">
        <v>9119986237.0900002</v>
      </c>
      <c r="AU87" s="90" t="s">
        <v>344</v>
      </c>
      <c r="AV87" s="253"/>
      <c r="AW87" s="264"/>
    </row>
    <row r="88" spans="2:49" x14ac:dyDescent="0.35">
      <c r="B88" s="254" t="s">
        <v>82</v>
      </c>
      <c r="C88" s="255"/>
      <c r="D88" s="92" t="s">
        <v>313</v>
      </c>
      <c r="E88" s="93">
        <v>784526</v>
      </c>
      <c r="F88" s="93">
        <v>121691</v>
      </c>
      <c r="G88" s="93">
        <v>164612</v>
      </c>
      <c r="H88" s="93">
        <v>3414626</v>
      </c>
      <c r="I88" s="93">
        <v>176559</v>
      </c>
      <c r="J88" s="93">
        <v>594802</v>
      </c>
      <c r="K88" s="93">
        <v>378545</v>
      </c>
      <c r="L88" s="93">
        <v>2722814</v>
      </c>
      <c r="M88" s="93">
        <v>1441794</v>
      </c>
      <c r="N88" s="93">
        <v>2741480</v>
      </c>
      <c r="O88" s="93">
        <v>2898885</v>
      </c>
      <c r="P88" s="93">
        <v>1693231</v>
      </c>
      <c r="Q88" s="93">
        <v>4391823</v>
      </c>
      <c r="R88" s="93">
        <v>4473425</v>
      </c>
      <c r="S88" s="93">
        <v>1677307</v>
      </c>
      <c r="T88" s="93">
        <v>158510</v>
      </c>
      <c r="U88" s="93">
        <v>1159603</v>
      </c>
      <c r="V88" s="93">
        <v>1763279</v>
      </c>
      <c r="W88" s="93">
        <v>338270</v>
      </c>
      <c r="X88" s="93">
        <v>709368</v>
      </c>
      <c r="Y88" s="93">
        <v>91239</v>
      </c>
      <c r="Z88" s="93">
        <v>372411</v>
      </c>
      <c r="AA88" s="93">
        <v>4527041</v>
      </c>
      <c r="AB88" s="93">
        <v>833036</v>
      </c>
      <c r="AC88" s="93">
        <v>270712</v>
      </c>
      <c r="AD88" s="93">
        <v>9532058</v>
      </c>
      <c r="AE88" s="93">
        <v>7389923</v>
      </c>
      <c r="AF88" s="93">
        <v>398320</v>
      </c>
      <c r="AG88" s="93">
        <v>3333457</v>
      </c>
      <c r="AH88" s="93">
        <v>1971252</v>
      </c>
      <c r="AI88" s="93">
        <v>991732</v>
      </c>
      <c r="AJ88" s="93">
        <v>168750</v>
      </c>
      <c r="AK88" s="93">
        <v>562505</v>
      </c>
      <c r="AL88" s="93">
        <v>507940</v>
      </c>
      <c r="AM88" s="93">
        <v>12342998</v>
      </c>
      <c r="AN88" s="93">
        <v>4004780</v>
      </c>
      <c r="AO88" s="93">
        <v>189374</v>
      </c>
      <c r="AP88" s="93">
        <v>294050</v>
      </c>
      <c r="AQ88" s="93">
        <v>1654339</v>
      </c>
      <c r="AR88" s="93">
        <v>216837</v>
      </c>
      <c r="AS88" s="93">
        <v>462458</v>
      </c>
      <c r="AT88" s="93">
        <v>81920362</v>
      </c>
      <c r="AU88" s="92" t="s">
        <v>312</v>
      </c>
      <c r="AV88" s="258" t="s">
        <v>98</v>
      </c>
      <c r="AW88" s="259"/>
    </row>
    <row r="89" spans="2:49" x14ac:dyDescent="0.35">
      <c r="B89" s="256"/>
      <c r="C89" s="257"/>
      <c r="D89" s="94" t="s">
        <v>345</v>
      </c>
      <c r="E89" s="95">
        <v>1002594636.46</v>
      </c>
      <c r="F89" s="95">
        <v>100782804.73</v>
      </c>
      <c r="G89" s="95">
        <v>133867632.88</v>
      </c>
      <c r="H89" s="95">
        <v>4212092869.4099998</v>
      </c>
      <c r="I89" s="95">
        <v>302235018.85000002</v>
      </c>
      <c r="J89" s="95">
        <v>678142435.78999996</v>
      </c>
      <c r="K89" s="95">
        <v>461642749.00999999</v>
      </c>
      <c r="L89" s="95">
        <v>3895535224.6900001</v>
      </c>
      <c r="M89" s="95">
        <v>2193176495.9499998</v>
      </c>
      <c r="N89" s="95">
        <v>3446192105.3699999</v>
      </c>
      <c r="O89" s="95">
        <v>3142925765.1399999</v>
      </c>
      <c r="P89" s="95">
        <v>2038333738.4200001</v>
      </c>
      <c r="Q89" s="95">
        <v>6267142641.0299997</v>
      </c>
      <c r="R89" s="95">
        <v>5343521214.2700005</v>
      </c>
      <c r="S89" s="95">
        <v>2664925180.2600002</v>
      </c>
      <c r="T89" s="95">
        <v>115295425.26000001</v>
      </c>
      <c r="U89" s="95">
        <v>1346130768.97</v>
      </c>
      <c r="V89" s="95">
        <v>2369815265.0900002</v>
      </c>
      <c r="W89" s="95">
        <v>422929986.85000002</v>
      </c>
      <c r="X89" s="95">
        <v>1136490664.3399999</v>
      </c>
      <c r="Y89" s="95">
        <v>123726796.62</v>
      </c>
      <c r="Z89" s="95">
        <v>516610482.5</v>
      </c>
      <c r="AA89" s="95">
        <v>4569624640.46</v>
      </c>
      <c r="AB89" s="95">
        <v>908280688.42999995</v>
      </c>
      <c r="AC89" s="95">
        <v>270847736.36000001</v>
      </c>
      <c r="AD89" s="95">
        <v>13982411489.48</v>
      </c>
      <c r="AE89" s="95">
        <v>10499537688.33</v>
      </c>
      <c r="AF89" s="95">
        <v>256640290.19</v>
      </c>
      <c r="AG89" s="95">
        <v>3254378196.5300002</v>
      </c>
      <c r="AH89" s="95">
        <v>1948104295.1300001</v>
      </c>
      <c r="AI89" s="95">
        <v>1825920358.5999999</v>
      </c>
      <c r="AJ89" s="95">
        <v>215370918.86000001</v>
      </c>
      <c r="AK89" s="95">
        <v>1257852261.1700001</v>
      </c>
      <c r="AL89" s="95">
        <v>726166585.54999995</v>
      </c>
      <c r="AM89" s="95">
        <v>23661197720.48</v>
      </c>
      <c r="AN89" s="95">
        <v>4914749005.4399996</v>
      </c>
      <c r="AO89" s="95">
        <v>181516912.77000001</v>
      </c>
      <c r="AP89" s="95">
        <v>196184145.28999999</v>
      </c>
      <c r="AQ89" s="95">
        <v>3329836827.0599999</v>
      </c>
      <c r="AR89" s="95">
        <v>212445144.77000001</v>
      </c>
      <c r="AS89" s="95">
        <v>281558743.50999999</v>
      </c>
      <c r="AT89" s="95">
        <v>114406733550.3</v>
      </c>
      <c r="AU89" s="94" t="s">
        <v>344</v>
      </c>
      <c r="AV89" s="260"/>
      <c r="AW89" s="261"/>
    </row>
    <row r="90" spans="2:49" x14ac:dyDescent="0.35">
      <c r="B90" s="233">
        <v>2024</v>
      </c>
      <c r="C90" s="250" t="s">
        <v>70</v>
      </c>
      <c r="D90" s="88" t="s">
        <v>313</v>
      </c>
      <c r="E90" s="89">
        <v>27703</v>
      </c>
      <c r="F90" s="89">
        <v>4650</v>
      </c>
      <c r="G90" s="89">
        <v>12348</v>
      </c>
      <c r="H90" s="89">
        <v>333673</v>
      </c>
      <c r="I90" s="89">
        <v>10615</v>
      </c>
      <c r="J90" s="89">
        <v>63122</v>
      </c>
      <c r="K90" s="89">
        <v>28071</v>
      </c>
      <c r="L90" s="89">
        <v>143986</v>
      </c>
      <c r="M90" s="89">
        <v>85837</v>
      </c>
      <c r="N90" s="89">
        <v>324562</v>
      </c>
      <c r="O90" s="89">
        <v>238925</v>
      </c>
      <c r="P90" s="89">
        <v>159161</v>
      </c>
      <c r="Q90" s="89">
        <v>364954</v>
      </c>
      <c r="R90" s="89">
        <v>370405</v>
      </c>
      <c r="S90" s="89">
        <v>133201</v>
      </c>
      <c r="T90" s="89">
        <v>427</v>
      </c>
      <c r="U90" s="89">
        <v>160531</v>
      </c>
      <c r="V90" s="89">
        <v>293749</v>
      </c>
      <c r="W90" s="89">
        <v>29651</v>
      </c>
      <c r="X90" s="89">
        <v>54679</v>
      </c>
      <c r="Y90" s="89">
        <v>8070</v>
      </c>
      <c r="Z90" s="89">
        <v>55734</v>
      </c>
      <c r="AA90" s="89">
        <v>460341</v>
      </c>
      <c r="AB90" s="89">
        <v>95016</v>
      </c>
      <c r="AC90" s="89">
        <v>26607</v>
      </c>
      <c r="AD90" s="89">
        <v>969040</v>
      </c>
      <c r="AE90" s="89">
        <v>685525</v>
      </c>
      <c r="AF90" s="89">
        <v>46172</v>
      </c>
      <c r="AG90" s="89">
        <v>195852</v>
      </c>
      <c r="AH90" s="89">
        <v>238546</v>
      </c>
      <c r="AI90" s="89">
        <v>84988</v>
      </c>
      <c r="AJ90" s="89">
        <v>35449</v>
      </c>
      <c r="AK90" s="89">
        <v>52555</v>
      </c>
      <c r="AL90" s="89">
        <v>29706</v>
      </c>
      <c r="AM90" s="89">
        <v>1397752</v>
      </c>
      <c r="AN90" s="89">
        <v>298754</v>
      </c>
      <c r="AO90" s="89">
        <v>17249</v>
      </c>
      <c r="AP90" s="89">
        <v>30273</v>
      </c>
      <c r="AQ90" s="89">
        <v>161846</v>
      </c>
      <c r="AR90" s="89">
        <v>20767</v>
      </c>
      <c r="AS90" s="89">
        <v>29873</v>
      </c>
      <c r="AT90" s="89">
        <v>7780365</v>
      </c>
      <c r="AU90" s="88" t="s">
        <v>312</v>
      </c>
      <c r="AV90" s="252" t="s">
        <v>86</v>
      </c>
      <c r="AW90" s="262">
        <v>2024</v>
      </c>
    </row>
    <row r="91" spans="2:49" x14ac:dyDescent="0.35">
      <c r="B91" s="234"/>
      <c r="C91" s="251"/>
      <c r="D91" s="90" t="s">
        <v>345</v>
      </c>
      <c r="E91" s="91">
        <v>28861029.190000001</v>
      </c>
      <c r="F91" s="91">
        <v>3937082.44</v>
      </c>
      <c r="G91" s="91">
        <v>5632201.6399999997</v>
      </c>
      <c r="H91" s="91">
        <v>348051324.13999999</v>
      </c>
      <c r="I91" s="91">
        <v>6420620.8300000001</v>
      </c>
      <c r="J91" s="91">
        <v>43427025.049999997</v>
      </c>
      <c r="K91" s="91">
        <v>27710149.850000001</v>
      </c>
      <c r="L91" s="91">
        <v>167766952.02000001</v>
      </c>
      <c r="M91" s="91">
        <v>92087595.680000007</v>
      </c>
      <c r="N91" s="91">
        <v>299258181.93000001</v>
      </c>
      <c r="O91" s="91">
        <v>257654689.43000001</v>
      </c>
      <c r="P91" s="91">
        <v>177399558.66</v>
      </c>
      <c r="Q91" s="91">
        <v>583525102.44000006</v>
      </c>
      <c r="R91" s="91">
        <v>448831755.70999998</v>
      </c>
      <c r="S91" s="91">
        <v>236534328.59</v>
      </c>
      <c r="T91" s="91">
        <v>225897.11</v>
      </c>
      <c r="U91" s="91">
        <v>189164067.77000001</v>
      </c>
      <c r="V91" s="91">
        <v>306115496.08999997</v>
      </c>
      <c r="W91" s="91">
        <v>73836067.870000005</v>
      </c>
      <c r="X91" s="91">
        <v>85756247.450000003</v>
      </c>
      <c r="Y91" s="91">
        <v>9157030.8900000006</v>
      </c>
      <c r="Z91" s="91">
        <v>93588094.930000007</v>
      </c>
      <c r="AA91" s="91">
        <v>403027563.35000002</v>
      </c>
      <c r="AB91" s="91">
        <v>71765488.090000004</v>
      </c>
      <c r="AC91" s="91">
        <v>25749506.469999999</v>
      </c>
      <c r="AD91" s="91">
        <v>1243118203.8299999</v>
      </c>
      <c r="AE91" s="91">
        <v>666086290.95000005</v>
      </c>
      <c r="AF91" s="91">
        <v>22070377.379999999</v>
      </c>
      <c r="AG91" s="91">
        <v>174234046.37</v>
      </c>
      <c r="AH91" s="91">
        <v>146804322.75999999</v>
      </c>
      <c r="AI91" s="91">
        <v>410797748.48000002</v>
      </c>
      <c r="AJ91" s="91">
        <v>38420920.969999999</v>
      </c>
      <c r="AK91" s="91">
        <v>69778138.790000007</v>
      </c>
      <c r="AL91" s="91">
        <v>19974836.649999999</v>
      </c>
      <c r="AM91" s="91">
        <v>2645081916.8200002</v>
      </c>
      <c r="AN91" s="91">
        <v>252001647.02000001</v>
      </c>
      <c r="AO91" s="91">
        <v>17300875.52</v>
      </c>
      <c r="AP91" s="91">
        <v>17861088.829999998</v>
      </c>
      <c r="AQ91" s="91">
        <v>292759559.88</v>
      </c>
      <c r="AR91" s="91">
        <v>17859473.899999999</v>
      </c>
      <c r="AS91" s="91">
        <v>20788821.760000002</v>
      </c>
      <c r="AT91" s="91">
        <v>10040421327.530001</v>
      </c>
      <c r="AU91" s="90" t="s">
        <v>344</v>
      </c>
      <c r="AV91" s="253"/>
      <c r="AW91" s="263"/>
    </row>
    <row r="92" spans="2:49" x14ac:dyDescent="0.35">
      <c r="B92" s="234"/>
      <c r="C92" s="250" t="s">
        <v>71</v>
      </c>
      <c r="D92" s="88" t="s">
        <v>313</v>
      </c>
      <c r="E92" s="89">
        <v>30932</v>
      </c>
      <c r="F92" s="89">
        <v>4690</v>
      </c>
      <c r="G92" s="89">
        <v>6293</v>
      </c>
      <c r="H92" s="89">
        <v>369598</v>
      </c>
      <c r="I92" s="89">
        <v>32571</v>
      </c>
      <c r="J92" s="89">
        <v>64825</v>
      </c>
      <c r="K92" s="89">
        <v>10915</v>
      </c>
      <c r="L92" s="89">
        <v>149094</v>
      </c>
      <c r="M92" s="89">
        <v>94581</v>
      </c>
      <c r="N92" s="89">
        <v>284958</v>
      </c>
      <c r="O92" s="89">
        <v>274720</v>
      </c>
      <c r="P92" s="89">
        <v>178110</v>
      </c>
      <c r="Q92" s="89">
        <v>399684</v>
      </c>
      <c r="R92" s="89">
        <v>389222</v>
      </c>
      <c r="S92" s="89">
        <v>189162</v>
      </c>
      <c r="T92" s="89">
        <v>6854</v>
      </c>
      <c r="U92" s="89">
        <v>107326</v>
      </c>
      <c r="V92" s="89">
        <v>244901</v>
      </c>
      <c r="W92" s="89">
        <v>30994</v>
      </c>
      <c r="X92" s="89">
        <v>74947</v>
      </c>
      <c r="Y92" s="89">
        <v>9025</v>
      </c>
      <c r="Z92" s="89">
        <v>51555</v>
      </c>
      <c r="AA92" s="89">
        <v>449839</v>
      </c>
      <c r="AB92" s="89">
        <v>96514</v>
      </c>
      <c r="AC92" s="89">
        <v>11207</v>
      </c>
      <c r="AD92" s="89">
        <v>941612</v>
      </c>
      <c r="AE92" s="89">
        <v>664141</v>
      </c>
      <c r="AF92" s="89">
        <v>43585</v>
      </c>
      <c r="AG92" s="89">
        <v>216437</v>
      </c>
      <c r="AH92" s="89">
        <v>152770</v>
      </c>
      <c r="AI92" s="89">
        <v>77219</v>
      </c>
      <c r="AJ92" s="89">
        <v>18593</v>
      </c>
      <c r="AK92" s="89">
        <v>56344</v>
      </c>
      <c r="AL92" s="89">
        <v>46483</v>
      </c>
      <c r="AM92" s="89">
        <v>1329432</v>
      </c>
      <c r="AN92" s="89">
        <v>359137</v>
      </c>
      <c r="AO92" s="89">
        <v>19600</v>
      </c>
      <c r="AP92" s="89">
        <v>29113</v>
      </c>
      <c r="AQ92" s="89">
        <v>169511</v>
      </c>
      <c r="AR92" s="89">
        <v>22195</v>
      </c>
      <c r="AS92" s="89">
        <v>34013</v>
      </c>
      <c r="AT92" s="89">
        <v>7742702</v>
      </c>
      <c r="AU92" s="88" t="s">
        <v>312</v>
      </c>
      <c r="AV92" s="252" t="s">
        <v>87</v>
      </c>
      <c r="AW92" s="263"/>
    </row>
    <row r="93" spans="2:49" x14ac:dyDescent="0.35">
      <c r="B93" s="234"/>
      <c r="C93" s="251"/>
      <c r="D93" s="90" t="s">
        <v>345</v>
      </c>
      <c r="E93" s="91">
        <v>27550873.280000001</v>
      </c>
      <c r="F93" s="91">
        <v>3321313.01</v>
      </c>
      <c r="G93" s="91">
        <v>2767878.2</v>
      </c>
      <c r="H93" s="91">
        <v>540959505.63</v>
      </c>
      <c r="I93" s="91">
        <v>54286792.979999997</v>
      </c>
      <c r="J93" s="91">
        <v>45327115.950000003</v>
      </c>
      <c r="K93" s="91">
        <v>7912984.9100000001</v>
      </c>
      <c r="L93" s="91">
        <v>179844463.66</v>
      </c>
      <c r="M93" s="91">
        <v>99644104.549999997</v>
      </c>
      <c r="N93" s="91">
        <v>281948115.30000001</v>
      </c>
      <c r="O93" s="91">
        <v>383410306.80000001</v>
      </c>
      <c r="P93" s="91">
        <v>235659407.78999999</v>
      </c>
      <c r="Q93" s="91">
        <v>667423841.88</v>
      </c>
      <c r="R93" s="91">
        <v>524514209.25999999</v>
      </c>
      <c r="S93" s="91">
        <v>359658628.63999999</v>
      </c>
      <c r="T93" s="91">
        <v>5078808.49</v>
      </c>
      <c r="U93" s="91">
        <v>148976617.11000001</v>
      </c>
      <c r="V93" s="91">
        <v>182682979.52000001</v>
      </c>
      <c r="W93" s="91">
        <v>47482997.200000003</v>
      </c>
      <c r="X93" s="91">
        <v>115026887.54000001</v>
      </c>
      <c r="Y93" s="91">
        <v>22763575.93</v>
      </c>
      <c r="Z93" s="91">
        <v>74575123.590000004</v>
      </c>
      <c r="AA93" s="91">
        <v>426092383.33999997</v>
      </c>
      <c r="AB93" s="91">
        <v>94571171.069999993</v>
      </c>
      <c r="AC93" s="91">
        <v>10286904.620000005</v>
      </c>
      <c r="AD93" s="91">
        <v>1311969105.1099999</v>
      </c>
      <c r="AE93" s="91">
        <v>538013648.19000006</v>
      </c>
      <c r="AF93" s="91">
        <v>19714837.899999999</v>
      </c>
      <c r="AG93" s="91">
        <v>169363294.28999999</v>
      </c>
      <c r="AH93" s="91">
        <v>117860698.40000001</v>
      </c>
      <c r="AI93" s="91">
        <v>153989503.53</v>
      </c>
      <c r="AJ93" s="91">
        <v>12324181.810000001</v>
      </c>
      <c r="AK93" s="91">
        <v>79759247.159999996</v>
      </c>
      <c r="AL93" s="91">
        <v>39156780.840000004</v>
      </c>
      <c r="AM93" s="91">
        <v>2414582635.1799998</v>
      </c>
      <c r="AN93" s="91">
        <v>380521751.94</v>
      </c>
      <c r="AO93" s="91">
        <v>14024714.32</v>
      </c>
      <c r="AP93" s="91">
        <v>16108686.68</v>
      </c>
      <c r="AQ93" s="91">
        <v>330190027.83999997</v>
      </c>
      <c r="AR93" s="91">
        <v>24546923.620000001</v>
      </c>
      <c r="AS93" s="91">
        <v>18050670.32</v>
      </c>
      <c r="AT93" s="91">
        <v>10181943697.379999</v>
      </c>
      <c r="AU93" s="90" t="s">
        <v>344</v>
      </c>
      <c r="AV93" s="253"/>
      <c r="AW93" s="263"/>
    </row>
    <row r="94" spans="2:49" x14ac:dyDescent="0.35">
      <c r="B94" s="234"/>
      <c r="C94" s="250" t="s">
        <v>72</v>
      </c>
      <c r="D94" s="88" t="s">
        <v>313</v>
      </c>
      <c r="E94" s="89">
        <v>31993</v>
      </c>
      <c r="F94" s="89">
        <v>1579</v>
      </c>
      <c r="G94" s="89">
        <v>11542</v>
      </c>
      <c r="H94" s="89">
        <v>191282</v>
      </c>
      <c r="I94" s="89">
        <v>12527</v>
      </c>
      <c r="J94" s="89">
        <v>43199</v>
      </c>
      <c r="K94" s="89">
        <v>30367</v>
      </c>
      <c r="L94" s="89">
        <v>185297</v>
      </c>
      <c r="M94" s="89">
        <v>102979</v>
      </c>
      <c r="N94" s="89">
        <v>235972</v>
      </c>
      <c r="O94" s="89">
        <v>224707</v>
      </c>
      <c r="P94" s="89">
        <v>105651</v>
      </c>
      <c r="Q94" s="89">
        <v>265597</v>
      </c>
      <c r="R94" s="89">
        <v>296733</v>
      </c>
      <c r="S94" s="89">
        <v>127086</v>
      </c>
      <c r="T94" s="89">
        <v>8025</v>
      </c>
      <c r="U94" s="89">
        <v>61586</v>
      </c>
      <c r="V94" s="89">
        <v>67553</v>
      </c>
      <c r="W94" s="89">
        <v>29490</v>
      </c>
      <c r="X94" s="89">
        <v>51293</v>
      </c>
      <c r="Y94" s="89">
        <v>7626</v>
      </c>
      <c r="Z94" s="89">
        <v>27508</v>
      </c>
      <c r="AA94" s="89">
        <v>457828</v>
      </c>
      <c r="AB94" s="89">
        <v>64433</v>
      </c>
      <c r="AC94" s="89">
        <v>19184</v>
      </c>
      <c r="AD94" s="89">
        <v>855992</v>
      </c>
      <c r="AE94" s="89">
        <v>1296379</v>
      </c>
      <c r="AF94" s="89">
        <v>33043</v>
      </c>
      <c r="AG94" s="89">
        <v>230961</v>
      </c>
      <c r="AH94" s="89">
        <v>101107</v>
      </c>
      <c r="AI94" s="89">
        <v>93265</v>
      </c>
      <c r="AJ94" s="89">
        <v>12433</v>
      </c>
      <c r="AK94" s="89">
        <v>45656</v>
      </c>
      <c r="AL94" s="89">
        <v>37950</v>
      </c>
      <c r="AM94" s="89">
        <v>818233</v>
      </c>
      <c r="AN94" s="89">
        <v>373210</v>
      </c>
      <c r="AO94" s="89">
        <v>16972</v>
      </c>
      <c r="AP94" s="89">
        <v>26466</v>
      </c>
      <c r="AQ94" s="89">
        <v>151502</v>
      </c>
      <c r="AR94" s="89">
        <v>18966</v>
      </c>
      <c r="AS94" s="89">
        <v>29407</v>
      </c>
      <c r="AT94" s="89">
        <v>6802579</v>
      </c>
      <c r="AU94" s="88" t="s">
        <v>312</v>
      </c>
      <c r="AV94" s="252" t="s">
        <v>88</v>
      </c>
      <c r="AW94" s="263"/>
    </row>
    <row r="95" spans="2:49" x14ac:dyDescent="0.35">
      <c r="B95" s="234"/>
      <c r="C95" s="251"/>
      <c r="D95" s="90" t="s">
        <v>345</v>
      </c>
      <c r="E95" s="91">
        <v>40878536.350000001</v>
      </c>
      <c r="F95" s="91">
        <v>908685.79</v>
      </c>
      <c r="G95" s="91">
        <v>8155349.1799999997</v>
      </c>
      <c r="H95" s="91">
        <v>155373643.93000001</v>
      </c>
      <c r="I95" s="91">
        <v>18459300.739999998</v>
      </c>
      <c r="J95" s="91">
        <v>25117191.809999999</v>
      </c>
      <c r="K95" s="91">
        <v>22141495.609999999</v>
      </c>
      <c r="L95" s="91">
        <v>280013212.13999999</v>
      </c>
      <c r="M95" s="91">
        <v>154553231.94999999</v>
      </c>
      <c r="N95" s="91">
        <v>306629560.19999999</v>
      </c>
      <c r="O95" s="91">
        <v>157726721.28999999</v>
      </c>
      <c r="P95" s="91">
        <v>113598527.01000001</v>
      </c>
      <c r="Q95" s="91">
        <v>397444674.82999998</v>
      </c>
      <c r="R95" s="91">
        <v>282218741.42000002</v>
      </c>
      <c r="S95" s="91">
        <v>183866255.36000001</v>
      </c>
      <c r="T95" s="91">
        <v>2676462.9500000002</v>
      </c>
      <c r="U95" s="91">
        <v>91128573.010000005</v>
      </c>
      <c r="V95" s="91">
        <v>53616317.770000003</v>
      </c>
      <c r="W95" s="91">
        <v>70838921.019999996</v>
      </c>
      <c r="X95" s="91">
        <v>65281803.140000001</v>
      </c>
      <c r="Y95" s="91">
        <v>4250209.25</v>
      </c>
      <c r="Z95" s="91">
        <v>43279276.259999998</v>
      </c>
      <c r="AA95" s="91">
        <v>682384731.64999998</v>
      </c>
      <c r="AB95" s="91">
        <v>133899626.67</v>
      </c>
      <c r="AC95" s="91">
        <v>151763866.58999997</v>
      </c>
      <c r="AD95" s="91">
        <v>1529020191.98</v>
      </c>
      <c r="AE95" s="91">
        <v>1755564007.4300001</v>
      </c>
      <c r="AF95" s="91">
        <v>17282143.859999999</v>
      </c>
      <c r="AG95" s="91">
        <v>358473496.76999998</v>
      </c>
      <c r="AH95" s="91">
        <v>77343245.810000002</v>
      </c>
      <c r="AI95" s="91">
        <v>137418670.46000001</v>
      </c>
      <c r="AJ95" s="91">
        <v>9436880.5199999996</v>
      </c>
      <c r="AK95" s="91">
        <v>122549882.25</v>
      </c>
      <c r="AL95" s="91">
        <v>45371188.649999999</v>
      </c>
      <c r="AM95" s="91">
        <v>1701594284.6199999</v>
      </c>
      <c r="AN95" s="91">
        <v>560575812.79999995</v>
      </c>
      <c r="AO95" s="91">
        <v>13124289.029999999</v>
      </c>
      <c r="AP95" s="91">
        <v>9654780.2300000004</v>
      </c>
      <c r="AQ95" s="91">
        <v>210973913.44</v>
      </c>
      <c r="AR95" s="91">
        <v>27682489.879999999</v>
      </c>
      <c r="AS95" s="91">
        <v>36695583.770000003</v>
      </c>
      <c r="AT95" s="91">
        <v>10058965777.42</v>
      </c>
      <c r="AU95" s="90" t="s">
        <v>344</v>
      </c>
      <c r="AV95" s="253"/>
      <c r="AW95" s="263"/>
    </row>
    <row r="96" spans="2:49" x14ac:dyDescent="0.35">
      <c r="B96" s="234"/>
      <c r="C96" s="250" t="s">
        <v>73</v>
      </c>
      <c r="D96" s="88" t="s">
        <v>313</v>
      </c>
      <c r="E96" s="89">
        <v>51549</v>
      </c>
      <c r="F96" s="89">
        <v>6385</v>
      </c>
      <c r="G96" s="89">
        <v>13315</v>
      </c>
      <c r="H96" s="89">
        <v>321145</v>
      </c>
      <c r="I96" s="89">
        <v>36994</v>
      </c>
      <c r="J96" s="89">
        <v>61538</v>
      </c>
      <c r="K96" s="89">
        <v>29687</v>
      </c>
      <c r="L96" s="89">
        <v>178464</v>
      </c>
      <c r="M96" s="89">
        <v>105226</v>
      </c>
      <c r="N96" s="89">
        <v>212978</v>
      </c>
      <c r="O96" s="89">
        <v>256829</v>
      </c>
      <c r="P96" s="89">
        <v>178678</v>
      </c>
      <c r="Q96" s="89">
        <v>470841</v>
      </c>
      <c r="R96" s="89">
        <v>362519</v>
      </c>
      <c r="S96" s="89">
        <v>150185</v>
      </c>
      <c r="T96" s="89"/>
      <c r="U96" s="89">
        <v>66937</v>
      </c>
      <c r="V96" s="89">
        <v>78167</v>
      </c>
      <c r="W96" s="89">
        <v>29985</v>
      </c>
      <c r="X96" s="89">
        <v>53859</v>
      </c>
      <c r="Y96" s="89">
        <v>7953</v>
      </c>
      <c r="Z96" s="89">
        <v>37285</v>
      </c>
      <c r="AA96" s="89">
        <v>519752</v>
      </c>
      <c r="AB96" s="89">
        <v>75211</v>
      </c>
      <c r="AC96" s="89">
        <v>34817</v>
      </c>
      <c r="AD96" s="89">
        <v>769331</v>
      </c>
      <c r="AE96" s="89">
        <v>745278</v>
      </c>
      <c r="AF96" s="89">
        <v>40481</v>
      </c>
      <c r="AG96" s="89">
        <v>306577</v>
      </c>
      <c r="AH96" s="89">
        <v>149415</v>
      </c>
      <c r="AI96" s="89">
        <v>90734</v>
      </c>
      <c r="AJ96" s="89">
        <v>9654</v>
      </c>
      <c r="AK96" s="89">
        <v>49807</v>
      </c>
      <c r="AL96" s="89">
        <v>44446</v>
      </c>
      <c r="AM96" s="89">
        <v>956981</v>
      </c>
      <c r="AN96" s="89">
        <v>448919</v>
      </c>
      <c r="AO96" s="89">
        <v>17664</v>
      </c>
      <c r="AP96" s="89">
        <v>28341</v>
      </c>
      <c r="AQ96" s="89">
        <v>137640</v>
      </c>
      <c r="AR96" s="89">
        <v>22216</v>
      </c>
      <c r="AS96" s="89">
        <v>42619</v>
      </c>
      <c r="AT96" s="89">
        <v>7200402</v>
      </c>
      <c r="AU96" s="88" t="s">
        <v>312</v>
      </c>
      <c r="AV96" s="252" t="s">
        <v>89</v>
      </c>
      <c r="AW96" s="263"/>
    </row>
    <row r="97" spans="2:49" x14ac:dyDescent="0.35">
      <c r="B97" s="234"/>
      <c r="C97" s="251"/>
      <c r="D97" s="90" t="s">
        <v>345</v>
      </c>
      <c r="E97" s="91">
        <v>37629105.609999999</v>
      </c>
      <c r="F97" s="91">
        <v>4976607.28</v>
      </c>
      <c r="G97" s="91">
        <v>7639485.2300000004</v>
      </c>
      <c r="H97" s="91">
        <v>279347626.29000002</v>
      </c>
      <c r="I97" s="91">
        <v>21135336.379999999</v>
      </c>
      <c r="J97" s="91">
        <v>73142535.180000007</v>
      </c>
      <c r="K97" s="91">
        <v>21969298.789999999</v>
      </c>
      <c r="L97" s="91">
        <v>174276195.47</v>
      </c>
      <c r="M97" s="91">
        <v>81359714.760000005</v>
      </c>
      <c r="N97" s="91">
        <v>163433788.87</v>
      </c>
      <c r="O97" s="91">
        <v>206870091.11000001</v>
      </c>
      <c r="P97" s="91">
        <v>170509244.46000001</v>
      </c>
      <c r="Q97" s="91">
        <v>592668144.5</v>
      </c>
      <c r="R97" s="91">
        <v>376006433.38999999</v>
      </c>
      <c r="S97" s="91">
        <v>206463368.00999999</v>
      </c>
      <c r="T97" s="91"/>
      <c r="U97" s="91">
        <v>72407237.829999998</v>
      </c>
      <c r="V97" s="91">
        <v>62537546.479999997</v>
      </c>
      <c r="W97" s="91">
        <v>35170837.899999999</v>
      </c>
      <c r="X97" s="91">
        <v>51533639.560000002</v>
      </c>
      <c r="Y97" s="91">
        <v>9575914.0299999993</v>
      </c>
      <c r="Z97" s="91">
        <v>49769058.909999996</v>
      </c>
      <c r="AA97" s="91">
        <v>482252220.79000002</v>
      </c>
      <c r="AB97" s="91">
        <v>77267799.810000002</v>
      </c>
      <c r="AC97" s="91">
        <v>51784072.209999993</v>
      </c>
      <c r="AD97" s="91">
        <v>1194673296.1900001</v>
      </c>
      <c r="AE97" s="91">
        <v>777645092.99000001</v>
      </c>
      <c r="AF97" s="91">
        <v>34696452.700000003</v>
      </c>
      <c r="AG97" s="91">
        <v>257491708.03</v>
      </c>
      <c r="AH97" s="91">
        <v>122687105.81999999</v>
      </c>
      <c r="AI97" s="91">
        <v>126961290.8</v>
      </c>
      <c r="AJ97" s="91">
        <v>10277580.99</v>
      </c>
      <c r="AK97" s="91">
        <v>81409337.5</v>
      </c>
      <c r="AL97" s="91">
        <v>57129090.140000001</v>
      </c>
      <c r="AM97" s="91">
        <v>1783297042.77</v>
      </c>
      <c r="AN97" s="91">
        <v>320402292.18000001</v>
      </c>
      <c r="AO97" s="91">
        <v>15075747.93</v>
      </c>
      <c r="AP97" s="91">
        <v>14299234</v>
      </c>
      <c r="AQ97" s="91">
        <v>190031615.47</v>
      </c>
      <c r="AR97" s="91">
        <v>30495734.329999998</v>
      </c>
      <c r="AS97" s="91">
        <v>27539743.120000001</v>
      </c>
      <c r="AT97" s="91">
        <v>8353837667.8100004</v>
      </c>
      <c r="AU97" s="90" t="s">
        <v>344</v>
      </c>
      <c r="AV97" s="253"/>
      <c r="AW97" s="263"/>
    </row>
    <row r="98" spans="2:49" x14ac:dyDescent="0.35">
      <c r="B98" s="234"/>
      <c r="C98" s="250" t="s">
        <v>74</v>
      </c>
      <c r="D98" s="88" t="s">
        <v>313</v>
      </c>
      <c r="E98" s="89">
        <v>46829</v>
      </c>
      <c r="F98" s="89">
        <v>4450</v>
      </c>
      <c r="G98" s="89">
        <v>11580</v>
      </c>
      <c r="H98" s="89">
        <v>245248</v>
      </c>
      <c r="I98" s="89">
        <v>19270</v>
      </c>
      <c r="J98" s="89">
        <v>41351</v>
      </c>
      <c r="K98" s="89">
        <v>43866</v>
      </c>
      <c r="L98" s="89">
        <v>195660</v>
      </c>
      <c r="M98" s="89">
        <v>84261</v>
      </c>
      <c r="N98" s="89">
        <v>181854</v>
      </c>
      <c r="O98" s="89">
        <v>231306</v>
      </c>
      <c r="P98" s="89">
        <v>166145</v>
      </c>
      <c r="Q98" s="89">
        <v>309975</v>
      </c>
      <c r="R98" s="89">
        <v>358979</v>
      </c>
      <c r="S98" s="89">
        <v>112210</v>
      </c>
      <c r="T98" s="89">
        <v>2870</v>
      </c>
      <c r="U98" s="89">
        <v>49527</v>
      </c>
      <c r="V98" s="89">
        <v>75147</v>
      </c>
      <c r="W98" s="89">
        <v>24265</v>
      </c>
      <c r="X98" s="89">
        <v>41571</v>
      </c>
      <c r="Y98" s="89">
        <v>5330</v>
      </c>
      <c r="Z98" s="89">
        <v>24533</v>
      </c>
      <c r="AA98" s="89">
        <v>290258</v>
      </c>
      <c r="AB98" s="89">
        <v>69175</v>
      </c>
      <c r="AC98" s="89">
        <v>21543</v>
      </c>
      <c r="AD98" s="89">
        <v>635251</v>
      </c>
      <c r="AE98" s="89">
        <v>487256</v>
      </c>
      <c r="AF98" s="89">
        <v>33433</v>
      </c>
      <c r="AG98" s="89">
        <v>229282</v>
      </c>
      <c r="AH98" s="89">
        <v>175449</v>
      </c>
      <c r="AI98" s="89">
        <v>63490</v>
      </c>
      <c r="AJ98" s="89">
        <v>11028</v>
      </c>
      <c r="AK98" s="89">
        <v>40690</v>
      </c>
      <c r="AL98" s="89">
        <v>24556</v>
      </c>
      <c r="AM98" s="89">
        <v>846227</v>
      </c>
      <c r="AN98" s="89">
        <v>527555</v>
      </c>
      <c r="AO98" s="89">
        <v>15852</v>
      </c>
      <c r="AP98" s="89">
        <v>25445</v>
      </c>
      <c r="AQ98" s="89">
        <v>141233</v>
      </c>
      <c r="AR98" s="89">
        <v>18843</v>
      </c>
      <c r="AS98" s="89">
        <v>43205</v>
      </c>
      <c r="AT98" s="89">
        <v>5975998</v>
      </c>
      <c r="AU98" s="88" t="s">
        <v>312</v>
      </c>
      <c r="AV98" s="252" t="s">
        <v>90</v>
      </c>
      <c r="AW98" s="263"/>
    </row>
    <row r="99" spans="2:49" x14ac:dyDescent="0.35">
      <c r="B99" s="234"/>
      <c r="C99" s="251"/>
      <c r="D99" s="90" t="s">
        <v>345</v>
      </c>
      <c r="E99" s="91">
        <v>51856731.140000001</v>
      </c>
      <c r="F99" s="91">
        <v>3519193.73</v>
      </c>
      <c r="G99" s="91">
        <v>9657065.6199999992</v>
      </c>
      <c r="H99" s="91">
        <v>290729987.60000002</v>
      </c>
      <c r="I99" s="91">
        <v>32709699.890000001</v>
      </c>
      <c r="J99" s="91">
        <v>47038562.960000001</v>
      </c>
      <c r="K99" s="91">
        <v>21641524.18</v>
      </c>
      <c r="L99" s="91">
        <v>212844285.44</v>
      </c>
      <c r="M99" s="91">
        <v>115540387.26000001</v>
      </c>
      <c r="N99" s="91">
        <v>127082802.94</v>
      </c>
      <c r="O99" s="91">
        <v>215655976.94</v>
      </c>
      <c r="P99" s="91">
        <v>177252754.19999999</v>
      </c>
      <c r="Q99" s="91">
        <v>422320569.75</v>
      </c>
      <c r="R99" s="91">
        <v>366500545.12</v>
      </c>
      <c r="S99" s="91">
        <v>138104211.06</v>
      </c>
      <c r="T99" s="91">
        <v>5751849.8300000001</v>
      </c>
      <c r="U99" s="91">
        <v>68482362.390000001</v>
      </c>
      <c r="V99" s="91">
        <v>86053399.090000004</v>
      </c>
      <c r="W99" s="91">
        <v>29389525.670000002</v>
      </c>
      <c r="X99" s="91">
        <v>65795039</v>
      </c>
      <c r="Y99" s="91">
        <v>4248615.78</v>
      </c>
      <c r="Z99" s="91">
        <v>59242198.130000003</v>
      </c>
      <c r="AA99" s="91">
        <v>262167271.49000001</v>
      </c>
      <c r="AB99" s="91">
        <v>74258368.689999998</v>
      </c>
      <c r="AC99" s="91">
        <v>23924846.189999998</v>
      </c>
      <c r="AD99" s="91">
        <v>1086287272.78</v>
      </c>
      <c r="AE99" s="91">
        <v>646313687.82000005</v>
      </c>
      <c r="AF99" s="91">
        <v>17016769.469999999</v>
      </c>
      <c r="AG99" s="91">
        <v>157601204.81</v>
      </c>
      <c r="AH99" s="91">
        <v>199725085.68000001</v>
      </c>
      <c r="AI99" s="91">
        <v>145585696.31999999</v>
      </c>
      <c r="AJ99" s="91">
        <v>8816436.5600000005</v>
      </c>
      <c r="AK99" s="91">
        <v>58613598.549999997</v>
      </c>
      <c r="AL99" s="91">
        <v>31056793.59</v>
      </c>
      <c r="AM99" s="91">
        <v>1830519508.6600001</v>
      </c>
      <c r="AN99" s="91">
        <v>376719499.58999997</v>
      </c>
      <c r="AO99" s="91">
        <v>21057190.920000002</v>
      </c>
      <c r="AP99" s="91">
        <v>14307522.73</v>
      </c>
      <c r="AQ99" s="91">
        <v>243460600.16</v>
      </c>
      <c r="AR99" s="91">
        <v>19033675.949999999</v>
      </c>
      <c r="AS99" s="91">
        <v>25991553.899999999</v>
      </c>
      <c r="AT99" s="91">
        <v>7793873871.5799999</v>
      </c>
      <c r="AU99" s="90" t="s">
        <v>344</v>
      </c>
      <c r="AV99" s="253"/>
      <c r="AW99" s="263"/>
    </row>
    <row r="100" spans="2:49" x14ac:dyDescent="0.35">
      <c r="B100" s="234"/>
      <c r="C100" s="250" t="s">
        <v>75</v>
      </c>
      <c r="D100" s="88" t="s">
        <v>313</v>
      </c>
      <c r="E100" s="89">
        <v>221543</v>
      </c>
      <c r="F100" s="89">
        <v>36915</v>
      </c>
      <c r="G100" s="89">
        <v>70966</v>
      </c>
      <c r="H100" s="89">
        <v>378157</v>
      </c>
      <c r="I100" s="89">
        <v>43030</v>
      </c>
      <c r="J100" s="89">
        <v>76019</v>
      </c>
      <c r="K100" s="89">
        <v>27566</v>
      </c>
      <c r="L100" s="89">
        <v>552957</v>
      </c>
      <c r="M100" s="89">
        <v>299955</v>
      </c>
      <c r="N100" s="89">
        <v>581138</v>
      </c>
      <c r="O100" s="89">
        <v>268066</v>
      </c>
      <c r="P100" s="89">
        <v>176842</v>
      </c>
      <c r="Q100" s="89">
        <v>444800</v>
      </c>
      <c r="R100" s="89">
        <v>391352</v>
      </c>
      <c r="S100" s="89">
        <v>201332</v>
      </c>
      <c r="T100" s="89"/>
      <c r="U100" s="89">
        <v>80629</v>
      </c>
      <c r="V100" s="89">
        <v>117367</v>
      </c>
      <c r="W100" s="89">
        <v>46202</v>
      </c>
      <c r="X100" s="89">
        <v>86700</v>
      </c>
      <c r="Y100" s="89">
        <v>12738</v>
      </c>
      <c r="Z100" s="89">
        <v>44311</v>
      </c>
      <c r="AA100" s="89">
        <v>491881</v>
      </c>
      <c r="AB100" s="89">
        <v>81837</v>
      </c>
      <c r="AC100" s="89">
        <v>26851</v>
      </c>
      <c r="AD100" s="89">
        <v>825563</v>
      </c>
      <c r="AE100" s="89">
        <v>965734</v>
      </c>
      <c r="AF100" s="89">
        <v>41341</v>
      </c>
      <c r="AG100" s="89">
        <v>529032</v>
      </c>
      <c r="AH100" s="89">
        <v>172963</v>
      </c>
      <c r="AI100" s="89">
        <v>143733</v>
      </c>
      <c r="AJ100" s="89">
        <v>28517</v>
      </c>
      <c r="AK100" s="89">
        <v>63285</v>
      </c>
      <c r="AL100" s="89">
        <v>70949</v>
      </c>
      <c r="AM100" s="89">
        <v>1036406</v>
      </c>
      <c r="AN100" s="89">
        <v>644241</v>
      </c>
      <c r="AO100" s="89">
        <v>20917</v>
      </c>
      <c r="AP100" s="89">
        <v>29203</v>
      </c>
      <c r="AQ100" s="89">
        <v>193587</v>
      </c>
      <c r="AR100" s="89">
        <v>25998</v>
      </c>
      <c r="AS100" s="89">
        <v>62486</v>
      </c>
      <c r="AT100" s="89">
        <v>9613109</v>
      </c>
      <c r="AU100" s="88" t="s">
        <v>312</v>
      </c>
      <c r="AV100" s="252" t="s">
        <v>91</v>
      </c>
      <c r="AW100" s="263"/>
    </row>
    <row r="101" spans="2:49" x14ac:dyDescent="0.35">
      <c r="B101" s="234"/>
      <c r="C101" s="251"/>
      <c r="D101" s="90" t="s">
        <v>345</v>
      </c>
      <c r="E101" s="91">
        <v>289624124.88999999</v>
      </c>
      <c r="F101" s="91">
        <v>45289456.359999999</v>
      </c>
      <c r="G101" s="91">
        <v>76180341.180000007</v>
      </c>
      <c r="H101" s="91">
        <v>352557556.38999999</v>
      </c>
      <c r="I101" s="91">
        <v>26682882.09</v>
      </c>
      <c r="J101" s="91">
        <v>84900830.549999997</v>
      </c>
      <c r="K101" s="91">
        <v>16686298.779999999</v>
      </c>
      <c r="L101" s="91">
        <v>847544618.38</v>
      </c>
      <c r="M101" s="91">
        <v>437202489.13</v>
      </c>
      <c r="N101" s="91">
        <v>836535502.83000004</v>
      </c>
      <c r="O101" s="91">
        <v>256665525.21000001</v>
      </c>
      <c r="P101" s="91">
        <v>180658497.78999999</v>
      </c>
      <c r="Q101" s="91">
        <v>649938448.38999999</v>
      </c>
      <c r="R101" s="91">
        <v>359309423.16000003</v>
      </c>
      <c r="S101" s="91">
        <v>257945400.88</v>
      </c>
      <c r="T101" s="91"/>
      <c r="U101" s="91">
        <v>126705454.08</v>
      </c>
      <c r="V101" s="91">
        <v>151936578.75999999</v>
      </c>
      <c r="W101" s="91">
        <v>28371534.800000001</v>
      </c>
      <c r="X101" s="91">
        <v>114379093.44</v>
      </c>
      <c r="Y101" s="91">
        <v>32845389.52</v>
      </c>
      <c r="Z101" s="91">
        <v>44066228.670000002</v>
      </c>
      <c r="AA101" s="91">
        <v>426458090.72000003</v>
      </c>
      <c r="AB101" s="91">
        <v>75451629.840000004</v>
      </c>
      <c r="AC101" s="91">
        <v>20770293.189999998</v>
      </c>
      <c r="AD101" s="91">
        <v>1229860548.54</v>
      </c>
      <c r="AE101" s="91">
        <v>3836071419.6799998</v>
      </c>
      <c r="AF101" s="91">
        <v>38540313.659999996</v>
      </c>
      <c r="AG101" s="91">
        <v>496240006.52999997</v>
      </c>
      <c r="AH101" s="91">
        <v>221527507.72999999</v>
      </c>
      <c r="AI101" s="91">
        <v>220280810.69999999</v>
      </c>
      <c r="AJ101" s="91">
        <v>20839518.23</v>
      </c>
      <c r="AK101" s="91">
        <v>107189945.15000001</v>
      </c>
      <c r="AL101" s="91">
        <v>114168740.14</v>
      </c>
      <c r="AM101" s="91">
        <v>1853061493.9400001</v>
      </c>
      <c r="AN101" s="91">
        <v>491650369.56</v>
      </c>
      <c r="AO101" s="91">
        <v>15085360.84</v>
      </c>
      <c r="AP101" s="91">
        <v>20889947.879999999</v>
      </c>
      <c r="AQ101" s="91">
        <v>441968757.69</v>
      </c>
      <c r="AR101" s="91">
        <v>50717163.009999998</v>
      </c>
      <c r="AS101" s="91">
        <v>41460577.350000001</v>
      </c>
      <c r="AT101" s="91">
        <v>14938258169.66</v>
      </c>
      <c r="AU101" s="90" t="s">
        <v>344</v>
      </c>
      <c r="AV101" s="253"/>
      <c r="AW101" s="263"/>
    </row>
    <row r="102" spans="2:49" x14ac:dyDescent="0.35">
      <c r="B102" s="234"/>
      <c r="C102" s="250" t="s">
        <v>76</v>
      </c>
      <c r="D102" s="88" t="s">
        <v>313</v>
      </c>
      <c r="E102" s="89">
        <v>173322</v>
      </c>
      <c r="F102" s="89">
        <v>15143</v>
      </c>
      <c r="G102" s="89">
        <v>27523</v>
      </c>
      <c r="H102" s="89">
        <v>262864</v>
      </c>
      <c r="I102" s="89">
        <v>13990</v>
      </c>
      <c r="J102" s="89">
        <v>54327</v>
      </c>
      <c r="K102" s="89">
        <v>26515</v>
      </c>
      <c r="L102" s="89">
        <v>601041</v>
      </c>
      <c r="M102" s="89">
        <v>230752</v>
      </c>
      <c r="N102" s="89">
        <v>333299</v>
      </c>
      <c r="O102" s="89">
        <v>223737</v>
      </c>
      <c r="P102" s="89">
        <v>162555</v>
      </c>
      <c r="Q102" s="89">
        <v>409833</v>
      </c>
      <c r="R102" s="89">
        <v>333336</v>
      </c>
      <c r="S102" s="89">
        <v>171631</v>
      </c>
      <c r="T102" s="89">
        <v>6134</v>
      </c>
      <c r="U102" s="89">
        <v>62123</v>
      </c>
      <c r="V102" s="89">
        <v>62227</v>
      </c>
      <c r="W102" s="89">
        <v>32261</v>
      </c>
      <c r="X102" s="89">
        <v>57151</v>
      </c>
      <c r="Y102" s="89">
        <v>7199</v>
      </c>
      <c r="Z102" s="89">
        <v>32249</v>
      </c>
      <c r="AA102" s="89">
        <v>449188</v>
      </c>
      <c r="AB102" s="89">
        <v>90991</v>
      </c>
      <c r="AC102" s="89">
        <v>10198</v>
      </c>
      <c r="AD102" s="89">
        <v>861163</v>
      </c>
      <c r="AE102" s="89">
        <v>626909</v>
      </c>
      <c r="AF102" s="89">
        <v>38064</v>
      </c>
      <c r="AG102" s="89">
        <v>620108</v>
      </c>
      <c r="AH102" s="89">
        <v>103731</v>
      </c>
      <c r="AI102" s="89">
        <v>89018</v>
      </c>
      <c r="AJ102" s="89">
        <v>23879</v>
      </c>
      <c r="AK102" s="89">
        <v>57389</v>
      </c>
      <c r="AL102" s="89">
        <v>39793</v>
      </c>
      <c r="AM102" s="89">
        <v>1020736</v>
      </c>
      <c r="AN102" s="89">
        <v>418790</v>
      </c>
      <c r="AO102" s="89">
        <v>17594</v>
      </c>
      <c r="AP102" s="89">
        <v>26916</v>
      </c>
      <c r="AQ102" s="89">
        <v>169320</v>
      </c>
      <c r="AR102" s="89">
        <v>23624</v>
      </c>
      <c r="AS102" s="89">
        <v>76239</v>
      </c>
      <c r="AT102" s="89">
        <v>8062862</v>
      </c>
      <c r="AU102" s="88" t="s">
        <v>312</v>
      </c>
      <c r="AV102" s="252" t="s">
        <v>92</v>
      </c>
      <c r="AW102" s="263"/>
    </row>
    <row r="103" spans="2:49" x14ac:dyDescent="0.35">
      <c r="B103" s="234"/>
      <c r="C103" s="251"/>
      <c r="D103" s="90" t="s">
        <v>345</v>
      </c>
      <c r="E103" s="91">
        <v>189858821.71000001</v>
      </c>
      <c r="F103" s="91">
        <v>17387093.670000002</v>
      </c>
      <c r="G103" s="91">
        <v>20222242.149999999</v>
      </c>
      <c r="H103" s="91">
        <v>237498622.31</v>
      </c>
      <c r="I103" s="91">
        <v>19446069.690000001</v>
      </c>
      <c r="J103" s="91">
        <v>49489852.859999999</v>
      </c>
      <c r="K103" s="91">
        <v>24892719.07</v>
      </c>
      <c r="L103" s="91">
        <v>785878164.21000004</v>
      </c>
      <c r="M103" s="91">
        <v>239381877.24000001</v>
      </c>
      <c r="N103" s="91">
        <v>417906259.77999997</v>
      </c>
      <c r="O103" s="91">
        <v>161297261.50999999</v>
      </c>
      <c r="P103" s="91">
        <v>151313129</v>
      </c>
      <c r="Q103" s="91">
        <v>453090091.98000002</v>
      </c>
      <c r="R103" s="91">
        <v>350295972.12</v>
      </c>
      <c r="S103" s="91">
        <v>213749747.78</v>
      </c>
      <c r="T103" s="91">
        <v>4033043.62</v>
      </c>
      <c r="U103" s="91">
        <v>73931264.659999996</v>
      </c>
      <c r="V103" s="91">
        <v>42634108.32</v>
      </c>
      <c r="W103" s="91">
        <v>64046900.729999997</v>
      </c>
      <c r="X103" s="91">
        <v>59372558.829999998</v>
      </c>
      <c r="Y103" s="91">
        <v>10242755.779999999</v>
      </c>
      <c r="Z103" s="91">
        <v>50578128.890000001</v>
      </c>
      <c r="AA103" s="91">
        <v>411997640.63</v>
      </c>
      <c r="AB103" s="91">
        <v>90257066.159999996</v>
      </c>
      <c r="AC103" s="91">
        <v>11818881.99000001</v>
      </c>
      <c r="AD103" s="91">
        <v>1373744156.8099999</v>
      </c>
      <c r="AE103" s="91">
        <v>534706363.30000001</v>
      </c>
      <c r="AF103" s="91">
        <v>25689139.629999999</v>
      </c>
      <c r="AG103" s="91">
        <v>595791270.45000005</v>
      </c>
      <c r="AH103" s="91">
        <v>95598449.719999999</v>
      </c>
      <c r="AI103" s="91">
        <v>134374817.21000001</v>
      </c>
      <c r="AJ103" s="91">
        <v>42231545.729999997</v>
      </c>
      <c r="AK103" s="91">
        <v>68745974.260000005</v>
      </c>
      <c r="AL103" s="91">
        <v>87189333.75</v>
      </c>
      <c r="AM103" s="91">
        <v>1809883189.74</v>
      </c>
      <c r="AN103" s="91">
        <v>323883833.75999999</v>
      </c>
      <c r="AO103" s="91">
        <v>14424497.49</v>
      </c>
      <c r="AP103" s="91">
        <v>15121450.109999999</v>
      </c>
      <c r="AQ103" s="91">
        <v>280265998.91000003</v>
      </c>
      <c r="AR103" s="91">
        <v>30025234.719999999</v>
      </c>
      <c r="AS103" s="91">
        <v>51247497.979999997</v>
      </c>
      <c r="AT103" s="91">
        <v>9633543028.2600002</v>
      </c>
      <c r="AU103" s="90" t="s">
        <v>344</v>
      </c>
      <c r="AV103" s="253"/>
      <c r="AW103" s="263"/>
    </row>
    <row r="104" spans="2:49" x14ac:dyDescent="0.35">
      <c r="B104" s="234"/>
      <c r="C104" s="250" t="s">
        <v>77</v>
      </c>
      <c r="D104" s="88" t="s">
        <v>313</v>
      </c>
      <c r="E104" s="89">
        <v>77600</v>
      </c>
      <c r="F104" s="89">
        <v>12522</v>
      </c>
      <c r="G104" s="89">
        <v>15174</v>
      </c>
      <c r="H104" s="89">
        <v>251140</v>
      </c>
      <c r="I104" s="89">
        <v>6178</v>
      </c>
      <c r="J104" s="89">
        <v>46742</v>
      </c>
      <c r="K104" s="89">
        <v>8681</v>
      </c>
      <c r="L104" s="89">
        <v>293258</v>
      </c>
      <c r="M104" s="89">
        <v>115743</v>
      </c>
      <c r="N104" s="89">
        <v>178887</v>
      </c>
      <c r="O104" s="89">
        <v>210104</v>
      </c>
      <c r="P104" s="89">
        <v>138132</v>
      </c>
      <c r="Q104" s="89">
        <v>363435</v>
      </c>
      <c r="R104" s="89">
        <v>328432</v>
      </c>
      <c r="S104" s="89">
        <v>123091</v>
      </c>
      <c r="T104" s="89">
        <v>2268</v>
      </c>
      <c r="U104" s="89">
        <v>67949</v>
      </c>
      <c r="V104" s="89">
        <v>92568</v>
      </c>
      <c r="W104" s="89">
        <v>26049</v>
      </c>
      <c r="X104" s="89">
        <v>87313</v>
      </c>
      <c r="Y104" s="89">
        <v>6693</v>
      </c>
      <c r="Z104" s="89">
        <v>25472</v>
      </c>
      <c r="AA104" s="89">
        <v>378845</v>
      </c>
      <c r="AB104" s="89">
        <v>73915</v>
      </c>
      <c r="AC104" s="89">
        <v>7520</v>
      </c>
      <c r="AD104" s="89">
        <v>623924</v>
      </c>
      <c r="AE104" s="89">
        <v>564118</v>
      </c>
      <c r="AF104" s="89">
        <v>35004</v>
      </c>
      <c r="AG104" s="89">
        <v>439329</v>
      </c>
      <c r="AH104" s="89">
        <v>123117</v>
      </c>
      <c r="AI104" s="89">
        <v>73601</v>
      </c>
      <c r="AJ104" s="89">
        <v>15794</v>
      </c>
      <c r="AK104" s="89">
        <v>72884</v>
      </c>
      <c r="AL104" s="89">
        <v>35821</v>
      </c>
      <c r="AM104" s="89">
        <v>915973</v>
      </c>
      <c r="AN104" s="89">
        <v>350474</v>
      </c>
      <c r="AO104" s="89">
        <v>16976</v>
      </c>
      <c r="AP104" s="89">
        <v>24954</v>
      </c>
      <c r="AQ104" s="89">
        <v>151623</v>
      </c>
      <c r="AR104" s="89">
        <v>19315</v>
      </c>
      <c r="AS104" s="89">
        <v>47345</v>
      </c>
      <c r="AT104" s="89">
        <v>6447963</v>
      </c>
      <c r="AU104" s="88" t="s">
        <v>312</v>
      </c>
      <c r="AV104" s="252" t="s">
        <v>93</v>
      </c>
      <c r="AW104" s="263"/>
    </row>
    <row r="105" spans="2:49" x14ac:dyDescent="0.35">
      <c r="B105" s="234"/>
      <c r="C105" s="251"/>
      <c r="D105" s="90" t="s">
        <v>345</v>
      </c>
      <c r="E105" s="91">
        <v>62702590.759999998</v>
      </c>
      <c r="F105" s="91">
        <v>8835427.9000000004</v>
      </c>
      <c r="G105" s="91">
        <v>7767796.7800000003</v>
      </c>
      <c r="H105" s="91">
        <v>395964882.5</v>
      </c>
      <c r="I105" s="91">
        <v>6015849.9800000004</v>
      </c>
      <c r="J105" s="91">
        <v>50021344.07</v>
      </c>
      <c r="K105" s="91">
        <v>25779340.890000001</v>
      </c>
      <c r="L105" s="91">
        <v>363818412.97000003</v>
      </c>
      <c r="M105" s="91">
        <v>167289123.84999999</v>
      </c>
      <c r="N105" s="91">
        <v>146453492.09999999</v>
      </c>
      <c r="O105" s="91">
        <v>162217567.63999999</v>
      </c>
      <c r="P105" s="91">
        <v>164219710.69</v>
      </c>
      <c r="Q105" s="91">
        <v>507834615.33999997</v>
      </c>
      <c r="R105" s="91">
        <v>439383786.17000002</v>
      </c>
      <c r="S105" s="91">
        <v>129634041.13</v>
      </c>
      <c r="T105" s="91">
        <v>4751660.79</v>
      </c>
      <c r="U105" s="91">
        <v>63934669.020000003</v>
      </c>
      <c r="V105" s="91">
        <v>69388984.700000003</v>
      </c>
      <c r="W105" s="91">
        <v>26307593.5</v>
      </c>
      <c r="X105" s="91">
        <v>114338822.06</v>
      </c>
      <c r="Y105" s="91">
        <v>16637355.18</v>
      </c>
      <c r="Z105" s="91">
        <v>36976206.68</v>
      </c>
      <c r="AA105" s="91">
        <v>390881240.44999999</v>
      </c>
      <c r="AB105" s="91">
        <v>103022724.36</v>
      </c>
      <c r="AC105" s="91">
        <v>5833589.2800000012</v>
      </c>
      <c r="AD105" s="91">
        <v>943001787.77999997</v>
      </c>
      <c r="AE105" s="91">
        <v>514854157.01999998</v>
      </c>
      <c r="AF105" s="91">
        <v>36659157.840000004</v>
      </c>
      <c r="AG105" s="91">
        <v>363552217.01999998</v>
      </c>
      <c r="AH105" s="91">
        <v>176677616.21000001</v>
      </c>
      <c r="AI105" s="91">
        <v>123740753.45</v>
      </c>
      <c r="AJ105" s="91">
        <v>25805441.039999999</v>
      </c>
      <c r="AK105" s="91">
        <v>204357571.78</v>
      </c>
      <c r="AL105" s="91">
        <v>43714923.140000001</v>
      </c>
      <c r="AM105" s="91">
        <v>2067490915.8900001</v>
      </c>
      <c r="AN105" s="91">
        <v>303899340.75999999</v>
      </c>
      <c r="AO105" s="91">
        <v>16284705.939999999</v>
      </c>
      <c r="AP105" s="91">
        <v>13656361.039999999</v>
      </c>
      <c r="AQ105" s="91">
        <v>333587638.22000003</v>
      </c>
      <c r="AR105" s="91">
        <v>39325967.450000003</v>
      </c>
      <c r="AS105" s="91">
        <v>27002148.870000001</v>
      </c>
      <c r="AT105" s="91">
        <v>8703621532.2399998</v>
      </c>
      <c r="AU105" s="90" t="s">
        <v>344</v>
      </c>
      <c r="AV105" s="253"/>
      <c r="AW105" s="263"/>
    </row>
    <row r="106" spans="2:49" x14ac:dyDescent="0.35">
      <c r="B106" s="234"/>
      <c r="C106" s="250" t="s">
        <v>78</v>
      </c>
      <c r="D106" s="88" t="s">
        <v>313</v>
      </c>
      <c r="E106" s="89">
        <v>38102</v>
      </c>
      <c r="F106" s="89">
        <v>7300</v>
      </c>
      <c r="G106" s="89">
        <v>12283</v>
      </c>
      <c r="H106" s="89">
        <v>528523</v>
      </c>
      <c r="I106" s="89">
        <v>24811</v>
      </c>
      <c r="J106" s="89">
        <v>43821</v>
      </c>
      <c r="K106" s="89">
        <v>15522</v>
      </c>
      <c r="L106" s="89">
        <v>159541</v>
      </c>
      <c r="M106" s="89">
        <v>80472</v>
      </c>
      <c r="N106" s="89">
        <v>137973</v>
      </c>
      <c r="O106" s="89">
        <v>247925</v>
      </c>
      <c r="P106" s="89">
        <v>141132</v>
      </c>
      <c r="Q106" s="89">
        <v>423542</v>
      </c>
      <c r="R106" s="89">
        <v>305044</v>
      </c>
      <c r="S106" s="89">
        <v>113265</v>
      </c>
      <c r="T106" s="89">
        <v>7632</v>
      </c>
      <c r="U106" s="89">
        <v>68309</v>
      </c>
      <c r="V106" s="89">
        <v>76765</v>
      </c>
      <c r="W106" s="89">
        <v>22240</v>
      </c>
      <c r="X106" s="89">
        <v>45462</v>
      </c>
      <c r="Y106" s="89">
        <v>5737</v>
      </c>
      <c r="Z106" s="89">
        <v>28167</v>
      </c>
      <c r="AA106" s="89">
        <v>320477</v>
      </c>
      <c r="AB106" s="89">
        <v>65632</v>
      </c>
      <c r="AC106" s="89">
        <v>14896</v>
      </c>
      <c r="AD106" s="89">
        <v>524596</v>
      </c>
      <c r="AE106" s="89">
        <v>465455</v>
      </c>
      <c r="AF106" s="89">
        <v>34087</v>
      </c>
      <c r="AG106" s="89">
        <v>238023</v>
      </c>
      <c r="AH106" s="89">
        <v>82566</v>
      </c>
      <c r="AI106" s="89">
        <v>77026</v>
      </c>
      <c r="AJ106" s="89">
        <v>5562</v>
      </c>
      <c r="AK106" s="89">
        <v>41501</v>
      </c>
      <c r="AL106" s="89">
        <v>23654</v>
      </c>
      <c r="AM106" s="89">
        <v>868499</v>
      </c>
      <c r="AN106" s="89">
        <v>390079</v>
      </c>
      <c r="AO106" s="89">
        <v>15784</v>
      </c>
      <c r="AP106" s="89">
        <v>22475</v>
      </c>
      <c r="AQ106" s="89">
        <v>135669</v>
      </c>
      <c r="AR106" s="89">
        <v>17881</v>
      </c>
      <c r="AS106" s="89">
        <v>30037</v>
      </c>
      <c r="AT106" s="89">
        <v>5907467</v>
      </c>
      <c r="AU106" s="88" t="s">
        <v>312</v>
      </c>
      <c r="AV106" s="252" t="s">
        <v>94</v>
      </c>
      <c r="AW106" s="263"/>
    </row>
    <row r="107" spans="2:49" x14ac:dyDescent="0.35">
      <c r="B107" s="234"/>
      <c r="C107" s="251"/>
      <c r="D107" s="90" t="s">
        <v>345</v>
      </c>
      <c r="E107" s="91">
        <v>31328457.120000001</v>
      </c>
      <c r="F107" s="91">
        <v>7585869.7699999996</v>
      </c>
      <c r="G107" s="91">
        <v>7603056.8499999996</v>
      </c>
      <c r="H107" s="91">
        <v>946562805.30999994</v>
      </c>
      <c r="I107" s="91">
        <v>39878201.75</v>
      </c>
      <c r="J107" s="91">
        <v>43654429.649999999</v>
      </c>
      <c r="K107" s="91">
        <v>37648788.450000003</v>
      </c>
      <c r="L107" s="91">
        <v>216939624.30000001</v>
      </c>
      <c r="M107" s="91">
        <v>91547189.620000005</v>
      </c>
      <c r="N107" s="91">
        <v>115900198.86</v>
      </c>
      <c r="O107" s="91">
        <v>230503254.27000001</v>
      </c>
      <c r="P107" s="91">
        <v>200409710.91999999</v>
      </c>
      <c r="Q107" s="91">
        <v>655922973.49000001</v>
      </c>
      <c r="R107" s="91">
        <v>338572639.00999999</v>
      </c>
      <c r="S107" s="91">
        <v>178494261.25999999</v>
      </c>
      <c r="T107" s="91">
        <v>8369649.7599999998</v>
      </c>
      <c r="U107" s="91">
        <v>105084640.86</v>
      </c>
      <c r="V107" s="91">
        <v>73346747.780000001</v>
      </c>
      <c r="W107" s="91">
        <v>22394497.390000001</v>
      </c>
      <c r="X107" s="91">
        <v>65985415.630000003</v>
      </c>
      <c r="Y107" s="91">
        <v>9801206.4100000001</v>
      </c>
      <c r="Z107" s="91">
        <v>52615263.719999999</v>
      </c>
      <c r="AA107" s="91">
        <v>325711457.54000002</v>
      </c>
      <c r="AB107" s="91">
        <v>80121978.140000001</v>
      </c>
      <c r="AC107" s="91">
        <v>31109312.290000007</v>
      </c>
      <c r="AD107" s="91">
        <v>761441642.72000003</v>
      </c>
      <c r="AE107" s="91">
        <v>429149652.25999999</v>
      </c>
      <c r="AF107" s="91">
        <v>23322444.489999998</v>
      </c>
      <c r="AG107" s="91">
        <v>199492572.21000001</v>
      </c>
      <c r="AH107" s="91">
        <v>64322993.189999998</v>
      </c>
      <c r="AI107" s="91">
        <v>88966372.75</v>
      </c>
      <c r="AJ107" s="91">
        <v>13564851.18</v>
      </c>
      <c r="AK107" s="91">
        <v>79465910.409999996</v>
      </c>
      <c r="AL107" s="91">
        <v>28471646.350000001</v>
      </c>
      <c r="AM107" s="91">
        <v>1868305944.3099999</v>
      </c>
      <c r="AN107" s="91">
        <v>352933558.79000002</v>
      </c>
      <c r="AO107" s="91">
        <v>12940861.050000001</v>
      </c>
      <c r="AP107" s="91">
        <v>16218463.109999999</v>
      </c>
      <c r="AQ107" s="91">
        <v>284393170.13999999</v>
      </c>
      <c r="AR107" s="91">
        <v>18961907.079999998</v>
      </c>
      <c r="AS107" s="91">
        <v>14949692.130000001</v>
      </c>
      <c r="AT107" s="91">
        <v>8173993312.3199997</v>
      </c>
      <c r="AU107" s="90" t="s">
        <v>344</v>
      </c>
      <c r="AV107" s="253"/>
      <c r="AW107" s="263"/>
    </row>
    <row r="108" spans="2:49" x14ac:dyDescent="0.35">
      <c r="B108" s="234"/>
      <c r="C108" s="250" t="s">
        <v>79</v>
      </c>
      <c r="D108" s="88" t="s">
        <v>313</v>
      </c>
      <c r="E108" s="89">
        <v>31393</v>
      </c>
      <c r="F108" s="89">
        <v>830</v>
      </c>
      <c r="G108" s="89">
        <v>9173</v>
      </c>
      <c r="H108" s="89">
        <v>246094</v>
      </c>
      <c r="I108" s="89">
        <v>15975</v>
      </c>
      <c r="J108" s="89">
        <v>47161</v>
      </c>
      <c r="K108" s="89">
        <v>6757</v>
      </c>
      <c r="L108" s="89">
        <v>148993</v>
      </c>
      <c r="M108" s="89">
        <v>79956</v>
      </c>
      <c r="N108" s="89">
        <v>150820</v>
      </c>
      <c r="O108" s="89">
        <v>266454</v>
      </c>
      <c r="P108" s="89">
        <v>164530</v>
      </c>
      <c r="Q108" s="89">
        <v>347760</v>
      </c>
      <c r="R108" s="89">
        <v>267236</v>
      </c>
      <c r="S108" s="89">
        <v>134573</v>
      </c>
      <c r="T108" s="89"/>
      <c r="U108" s="89">
        <v>61523</v>
      </c>
      <c r="V108" s="89">
        <v>108204</v>
      </c>
      <c r="W108" s="89">
        <v>24192</v>
      </c>
      <c r="X108" s="89">
        <v>42895</v>
      </c>
      <c r="Y108" s="89">
        <v>6099</v>
      </c>
      <c r="Z108" s="89">
        <v>30864</v>
      </c>
      <c r="AA108" s="89">
        <v>347343</v>
      </c>
      <c r="AB108" s="89">
        <v>70882</v>
      </c>
      <c r="AC108" s="89">
        <v>11416</v>
      </c>
      <c r="AD108" s="89">
        <v>623952</v>
      </c>
      <c r="AE108" s="89">
        <v>516866</v>
      </c>
      <c r="AF108" s="89">
        <v>33888</v>
      </c>
      <c r="AG108" s="89">
        <v>217073</v>
      </c>
      <c r="AH108" s="89">
        <v>111030</v>
      </c>
      <c r="AI108" s="89">
        <v>74419</v>
      </c>
      <c r="AJ108" s="89">
        <v>14423</v>
      </c>
      <c r="AK108" s="89">
        <v>44522</v>
      </c>
      <c r="AL108" s="89">
        <v>29301</v>
      </c>
      <c r="AM108" s="89">
        <v>977004</v>
      </c>
      <c r="AN108" s="89">
        <v>308082</v>
      </c>
      <c r="AO108" s="89">
        <v>15175</v>
      </c>
      <c r="AP108" s="89">
        <v>23659</v>
      </c>
      <c r="AQ108" s="89">
        <v>135617</v>
      </c>
      <c r="AR108" s="89">
        <v>18779</v>
      </c>
      <c r="AS108" s="89">
        <v>28852</v>
      </c>
      <c r="AT108" s="89">
        <v>5793765</v>
      </c>
      <c r="AU108" s="88" t="s">
        <v>312</v>
      </c>
      <c r="AV108" s="252" t="s">
        <v>95</v>
      </c>
      <c r="AW108" s="263"/>
    </row>
    <row r="109" spans="2:49" x14ac:dyDescent="0.35">
      <c r="B109" s="234"/>
      <c r="C109" s="251"/>
      <c r="D109" s="90" t="s">
        <v>345</v>
      </c>
      <c r="E109" s="91">
        <v>31715465.550000001</v>
      </c>
      <c r="F109" s="91">
        <v>1551993.47</v>
      </c>
      <c r="G109" s="91">
        <v>6387061.3499999996</v>
      </c>
      <c r="H109" s="91">
        <v>323340211.29000002</v>
      </c>
      <c r="I109" s="91">
        <v>9931596.8599999994</v>
      </c>
      <c r="J109" s="91">
        <v>35125572.960000001</v>
      </c>
      <c r="K109" s="91">
        <v>3157240.75</v>
      </c>
      <c r="L109" s="91">
        <v>218758005.94999999</v>
      </c>
      <c r="M109" s="91">
        <v>122878832.45999999</v>
      </c>
      <c r="N109" s="91">
        <v>111337734.62</v>
      </c>
      <c r="O109" s="91">
        <v>258352725.40000001</v>
      </c>
      <c r="P109" s="91">
        <v>219768056.38999999</v>
      </c>
      <c r="Q109" s="91">
        <v>559011284.11000001</v>
      </c>
      <c r="R109" s="91">
        <v>285307662.70999998</v>
      </c>
      <c r="S109" s="91">
        <v>163104205.59</v>
      </c>
      <c r="T109" s="91"/>
      <c r="U109" s="91">
        <v>86362447.930000007</v>
      </c>
      <c r="V109" s="91">
        <v>80712632.090000004</v>
      </c>
      <c r="W109" s="91">
        <v>15224447.439999999</v>
      </c>
      <c r="X109" s="91">
        <v>83697942.980000004</v>
      </c>
      <c r="Y109" s="91">
        <v>3913439.6</v>
      </c>
      <c r="Z109" s="91">
        <v>65973101.200000003</v>
      </c>
      <c r="AA109" s="91">
        <v>331066334.39999998</v>
      </c>
      <c r="AB109" s="91">
        <v>115465433.23999999</v>
      </c>
      <c r="AC109" s="91">
        <v>8147553.8599999994</v>
      </c>
      <c r="AD109" s="91">
        <v>1234178150.8199999</v>
      </c>
      <c r="AE109" s="91">
        <v>422483065.25999999</v>
      </c>
      <c r="AF109" s="91">
        <v>23347291.07</v>
      </c>
      <c r="AG109" s="91">
        <v>169619217.03</v>
      </c>
      <c r="AH109" s="91">
        <v>125342241.44</v>
      </c>
      <c r="AI109" s="91">
        <v>103776513.68000001</v>
      </c>
      <c r="AJ109" s="91">
        <v>11022003.9</v>
      </c>
      <c r="AK109" s="91">
        <v>153335182.56999999</v>
      </c>
      <c r="AL109" s="91">
        <v>59181253.520000003</v>
      </c>
      <c r="AM109" s="91">
        <v>1970601294.1900001</v>
      </c>
      <c r="AN109" s="91">
        <v>364737447.82999998</v>
      </c>
      <c r="AO109" s="91">
        <v>38672964.960000001</v>
      </c>
      <c r="AP109" s="91">
        <v>16430722.470000001</v>
      </c>
      <c r="AQ109" s="91">
        <v>418276871.20999998</v>
      </c>
      <c r="AR109" s="91">
        <v>32812170.120000001</v>
      </c>
      <c r="AS109" s="91">
        <v>16328195.24</v>
      </c>
      <c r="AT109" s="91">
        <v>8300435567.5100002</v>
      </c>
      <c r="AU109" s="90" t="s">
        <v>344</v>
      </c>
      <c r="AV109" s="253"/>
      <c r="AW109" s="263"/>
    </row>
    <row r="110" spans="2:49" x14ac:dyDescent="0.35">
      <c r="B110" s="234"/>
      <c r="C110" s="250" t="s">
        <v>80</v>
      </c>
      <c r="D110" s="88" t="s">
        <v>313</v>
      </c>
      <c r="E110" s="89">
        <v>35640</v>
      </c>
      <c r="F110" s="89">
        <v>7996</v>
      </c>
      <c r="G110" s="89">
        <v>25694</v>
      </c>
      <c r="H110" s="89">
        <v>316646</v>
      </c>
      <c r="I110" s="89">
        <v>23711</v>
      </c>
      <c r="J110" s="89">
        <v>64224</v>
      </c>
      <c r="K110" s="89">
        <v>13891</v>
      </c>
      <c r="L110" s="89">
        <v>135543</v>
      </c>
      <c r="M110" s="89">
        <v>100733</v>
      </c>
      <c r="N110" s="89">
        <v>206180</v>
      </c>
      <c r="O110" s="89">
        <v>280240</v>
      </c>
      <c r="P110" s="89">
        <v>223950</v>
      </c>
      <c r="Q110" s="89">
        <v>408441</v>
      </c>
      <c r="R110" s="89">
        <v>392116</v>
      </c>
      <c r="S110" s="89">
        <v>205938</v>
      </c>
      <c r="T110" s="89"/>
      <c r="U110" s="89">
        <v>115160</v>
      </c>
      <c r="V110" s="89">
        <v>366762</v>
      </c>
      <c r="W110" s="89">
        <v>29886</v>
      </c>
      <c r="X110" s="89">
        <v>63580</v>
      </c>
      <c r="Y110" s="89">
        <v>8687</v>
      </c>
      <c r="Z110" s="89">
        <v>47204</v>
      </c>
      <c r="AA110" s="89">
        <v>508922</v>
      </c>
      <c r="AB110" s="89">
        <v>94300</v>
      </c>
      <c r="AC110" s="89">
        <v>16742</v>
      </c>
      <c r="AD110" s="89">
        <v>832949</v>
      </c>
      <c r="AE110" s="89">
        <v>701842</v>
      </c>
      <c r="AF110" s="89">
        <v>42537</v>
      </c>
      <c r="AG110" s="89">
        <v>257271</v>
      </c>
      <c r="AH110" s="89">
        <v>216226</v>
      </c>
      <c r="AI110" s="89">
        <v>81496</v>
      </c>
      <c r="AJ110" s="89">
        <v>43226</v>
      </c>
      <c r="AK110" s="89">
        <v>57171</v>
      </c>
      <c r="AL110" s="89">
        <v>47006</v>
      </c>
      <c r="AM110" s="89">
        <v>1300452</v>
      </c>
      <c r="AN110" s="89">
        <v>387577</v>
      </c>
      <c r="AO110" s="89">
        <v>17637</v>
      </c>
      <c r="AP110" s="89">
        <v>23821</v>
      </c>
      <c r="AQ110" s="89">
        <v>152358</v>
      </c>
      <c r="AR110" s="89">
        <v>23223</v>
      </c>
      <c r="AS110" s="89">
        <v>29748</v>
      </c>
      <c r="AT110" s="89">
        <v>7906726</v>
      </c>
      <c r="AU110" s="88" t="s">
        <v>312</v>
      </c>
      <c r="AV110" s="252" t="s">
        <v>96</v>
      </c>
      <c r="AW110" s="263"/>
    </row>
    <row r="111" spans="2:49" x14ac:dyDescent="0.35">
      <c r="B111" s="234"/>
      <c r="C111" s="251"/>
      <c r="D111" s="90" t="s">
        <v>345</v>
      </c>
      <c r="E111" s="91">
        <v>34692977.649999999</v>
      </c>
      <c r="F111" s="91">
        <v>4927654.41</v>
      </c>
      <c r="G111" s="91">
        <v>15376034.220000001</v>
      </c>
      <c r="H111" s="91">
        <v>473851464.10000002</v>
      </c>
      <c r="I111" s="91">
        <v>16900314.609999999</v>
      </c>
      <c r="J111" s="91">
        <v>87011703.109999999</v>
      </c>
      <c r="K111" s="91">
        <v>14723906.310000001</v>
      </c>
      <c r="L111" s="91">
        <v>151740955.59</v>
      </c>
      <c r="M111" s="91">
        <v>118044881.13</v>
      </c>
      <c r="N111" s="91">
        <v>138487020.53</v>
      </c>
      <c r="O111" s="91">
        <v>355932695.83999997</v>
      </c>
      <c r="P111" s="91">
        <v>251993963.5</v>
      </c>
      <c r="Q111" s="91">
        <v>543169499.00999999</v>
      </c>
      <c r="R111" s="91">
        <v>582422914.63999999</v>
      </c>
      <c r="S111" s="91">
        <v>289958764.27999997</v>
      </c>
      <c r="T111" s="91"/>
      <c r="U111" s="91">
        <v>89983394.700000003</v>
      </c>
      <c r="V111" s="91">
        <v>284783888.48000002</v>
      </c>
      <c r="W111" s="91">
        <v>33884624.229999997</v>
      </c>
      <c r="X111" s="91">
        <v>69247143.930000007</v>
      </c>
      <c r="Y111" s="91">
        <v>9846107.1300000008</v>
      </c>
      <c r="Z111" s="91">
        <v>78024248.510000005</v>
      </c>
      <c r="AA111" s="91">
        <v>632671198.00999999</v>
      </c>
      <c r="AB111" s="91">
        <v>88738251.939999998</v>
      </c>
      <c r="AC111" s="91">
        <v>11650765.920000002</v>
      </c>
      <c r="AD111" s="91">
        <v>1199990658.5999999</v>
      </c>
      <c r="AE111" s="91">
        <v>547048056.44000006</v>
      </c>
      <c r="AF111" s="91">
        <v>29443354.879999999</v>
      </c>
      <c r="AG111" s="91">
        <v>220831561.03999999</v>
      </c>
      <c r="AH111" s="91">
        <v>183060093.41</v>
      </c>
      <c r="AI111" s="91">
        <v>145798590.78999999</v>
      </c>
      <c r="AJ111" s="91">
        <v>49435354.280000001</v>
      </c>
      <c r="AK111" s="91">
        <v>101271077.23999999</v>
      </c>
      <c r="AL111" s="91">
        <v>58157894.140000001</v>
      </c>
      <c r="AM111" s="91">
        <v>2603225874.1399999</v>
      </c>
      <c r="AN111" s="91">
        <v>319379825.70999998</v>
      </c>
      <c r="AO111" s="91">
        <v>25827631.829999998</v>
      </c>
      <c r="AP111" s="91">
        <v>13649196.289999999</v>
      </c>
      <c r="AQ111" s="91">
        <v>340626912.51999998</v>
      </c>
      <c r="AR111" s="91">
        <v>55422331.049999997</v>
      </c>
      <c r="AS111" s="91">
        <v>14696201.16</v>
      </c>
      <c r="AT111" s="91">
        <v>10285928985.299999</v>
      </c>
      <c r="AU111" s="90" t="s">
        <v>344</v>
      </c>
      <c r="AV111" s="253"/>
      <c r="AW111" s="263"/>
    </row>
    <row r="112" spans="2:49" x14ac:dyDescent="0.35">
      <c r="B112" s="234"/>
      <c r="C112" s="250" t="s">
        <v>81</v>
      </c>
      <c r="D112" s="88" t="s">
        <v>313</v>
      </c>
      <c r="E112" s="89">
        <v>24732</v>
      </c>
      <c r="F112" s="89">
        <v>4388</v>
      </c>
      <c r="G112" s="89">
        <v>12646</v>
      </c>
      <c r="H112" s="89">
        <v>255410</v>
      </c>
      <c r="I112" s="89">
        <v>24038</v>
      </c>
      <c r="J112" s="89">
        <v>47613</v>
      </c>
      <c r="K112" s="89">
        <v>13175</v>
      </c>
      <c r="L112" s="89">
        <v>112979</v>
      </c>
      <c r="M112" s="89">
        <v>86836</v>
      </c>
      <c r="N112" s="89">
        <v>180784</v>
      </c>
      <c r="O112" s="89">
        <v>278852</v>
      </c>
      <c r="P112" s="89">
        <v>160200</v>
      </c>
      <c r="Q112" s="89">
        <v>340646</v>
      </c>
      <c r="R112" s="89">
        <v>342547</v>
      </c>
      <c r="S112" s="89">
        <v>136320</v>
      </c>
      <c r="T112" s="89">
        <v>8594</v>
      </c>
      <c r="U112" s="89">
        <v>146869</v>
      </c>
      <c r="V112" s="89">
        <v>304494</v>
      </c>
      <c r="W112" s="89">
        <v>25410</v>
      </c>
      <c r="X112" s="89">
        <v>57705</v>
      </c>
      <c r="Y112" s="89">
        <v>6460</v>
      </c>
      <c r="Z112" s="89">
        <v>50988</v>
      </c>
      <c r="AA112" s="89">
        <v>426291</v>
      </c>
      <c r="AB112" s="89">
        <v>76153</v>
      </c>
      <c r="AC112" s="89">
        <v>9013</v>
      </c>
      <c r="AD112" s="89">
        <v>779187</v>
      </c>
      <c r="AE112" s="89">
        <v>629796</v>
      </c>
      <c r="AF112" s="89">
        <v>37377</v>
      </c>
      <c r="AG112" s="89">
        <v>171068</v>
      </c>
      <c r="AH112" s="89">
        <v>158316</v>
      </c>
      <c r="AI112" s="89">
        <v>76607</v>
      </c>
      <c r="AJ112" s="89">
        <v>14858</v>
      </c>
      <c r="AK112" s="89">
        <v>44306</v>
      </c>
      <c r="AL112" s="89">
        <v>33777</v>
      </c>
      <c r="AM112" s="89">
        <v>1247920</v>
      </c>
      <c r="AN112" s="89">
        <v>374325</v>
      </c>
      <c r="AO112" s="89">
        <v>15989</v>
      </c>
      <c r="AP112" s="89">
        <v>20259</v>
      </c>
      <c r="AQ112" s="89">
        <v>143117</v>
      </c>
      <c r="AR112" s="89">
        <v>19993</v>
      </c>
      <c r="AS112" s="89">
        <v>23383</v>
      </c>
      <c r="AT112" s="89">
        <v>6923421</v>
      </c>
      <c r="AU112" s="88" t="s">
        <v>312</v>
      </c>
      <c r="AV112" s="252" t="s">
        <v>97</v>
      </c>
      <c r="AW112" s="263"/>
    </row>
    <row r="113" spans="2:49" x14ac:dyDescent="0.35">
      <c r="B113" s="235"/>
      <c r="C113" s="251"/>
      <c r="D113" s="90" t="s">
        <v>345</v>
      </c>
      <c r="E113" s="91">
        <v>17335383.219999999</v>
      </c>
      <c r="F113" s="91">
        <v>2647027.13</v>
      </c>
      <c r="G113" s="91">
        <v>6654904.5599999996</v>
      </c>
      <c r="H113" s="91">
        <v>223115025.56999999</v>
      </c>
      <c r="I113" s="91">
        <v>13542080.140000001</v>
      </c>
      <c r="J113" s="91">
        <v>39806658.200000003</v>
      </c>
      <c r="K113" s="91">
        <v>8856585.5600000005</v>
      </c>
      <c r="L113" s="91">
        <v>131986274.27</v>
      </c>
      <c r="M113" s="91">
        <v>86515761.540000007</v>
      </c>
      <c r="N113" s="91">
        <v>116089651.06999999</v>
      </c>
      <c r="O113" s="91">
        <v>238429661.94999999</v>
      </c>
      <c r="P113" s="91">
        <v>192189107.59</v>
      </c>
      <c r="Q113" s="91">
        <v>514992130.74000001</v>
      </c>
      <c r="R113" s="91">
        <v>401429819.47000003</v>
      </c>
      <c r="S113" s="91">
        <v>154942242.62</v>
      </c>
      <c r="T113" s="91">
        <v>6706529.2999999998</v>
      </c>
      <c r="U113" s="91">
        <v>116928586.76000001</v>
      </c>
      <c r="V113" s="91">
        <v>231363006.03999999</v>
      </c>
      <c r="W113" s="91">
        <v>20555716.18</v>
      </c>
      <c r="X113" s="91">
        <v>73523654.930000007</v>
      </c>
      <c r="Y113" s="91">
        <v>6484457.29</v>
      </c>
      <c r="Z113" s="91">
        <v>117371231.16</v>
      </c>
      <c r="AA113" s="91">
        <v>469834366.69</v>
      </c>
      <c r="AB113" s="91">
        <v>84898529.400000006</v>
      </c>
      <c r="AC113" s="91">
        <v>21483545.769999996</v>
      </c>
      <c r="AD113" s="91">
        <v>1196487609.3699999</v>
      </c>
      <c r="AE113" s="91">
        <v>439145253.25</v>
      </c>
      <c r="AF113" s="91">
        <v>26415263.07</v>
      </c>
      <c r="AG113" s="91">
        <v>126945573.59999999</v>
      </c>
      <c r="AH113" s="91">
        <v>111149798.64</v>
      </c>
      <c r="AI113" s="91">
        <v>69924523.290000007</v>
      </c>
      <c r="AJ113" s="91">
        <v>11690234.09</v>
      </c>
      <c r="AK113" s="91">
        <v>105806216.34</v>
      </c>
      <c r="AL113" s="91">
        <v>27449316.210000001</v>
      </c>
      <c r="AM113" s="91">
        <v>2606504202.0100002</v>
      </c>
      <c r="AN113" s="91">
        <v>292171633.62</v>
      </c>
      <c r="AO113" s="91">
        <v>11757016.689999999</v>
      </c>
      <c r="AP113" s="91">
        <v>12787997</v>
      </c>
      <c r="AQ113" s="91">
        <v>428593838.42000002</v>
      </c>
      <c r="AR113" s="91">
        <v>33657720.310000002</v>
      </c>
      <c r="AS113" s="91">
        <v>12784950.65</v>
      </c>
      <c r="AT113" s="91">
        <v>8810953083.7099991</v>
      </c>
      <c r="AU113" s="90" t="s">
        <v>344</v>
      </c>
      <c r="AV113" s="253"/>
      <c r="AW113" s="264"/>
    </row>
    <row r="114" spans="2:49" x14ac:dyDescent="0.35">
      <c r="B114" s="254" t="s">
        <v>82</v>
      </c>
      <c r="C114" s="255"/>
      <c r="D114" s="92" t="s">
        <v>313</v>
      </c>
      <c r="E114" s="93">
        <v>791338</v>
      </c>
      <c r="F114" s="93">
        <v>106848</v>
      </c>
      <c r="G114" s="93">
        <v>228537</v>
      </c>
      <c r="H114" s="93">
        <v>3699780</v>
      </c>
      <c r="I114" s="93">
        <v>263710</v>
      </c>
      <c r="J114" s="93">
        <v>653942</v>
      </c>
      <c r="K114" s="93">
        <v>255013</v>
      </c>
      <c r="L114" s="93">
        <v>2856813</v>
      </c>
      <c r="M114" s="93">
        <v>1467331</v>
      </c>
      <c r="N114" s="93">
        <v>3009405</v>
      </c>
      <c r="O114" s="93">
        <v>3001865</v>
      </c>
      <c r="P114" s="93">
        <v>1955086</v>
      </c>
      <c r="Q114" s="93">
        <v>4549508</v>
      </c>
      <c r="R114" s="93">
        <v>4137921</v>
      </c>
      <c r="S114" s="93">
        <v>1797994</v>
      </c>
      <c r="T114" s="93">
        <v>42804</v>
      </c>
      <c r="U114" s="93">
        <v>1048469</v>
      </c>
      <c r="V114" s="93">
        <v>1887904</v>
      </c>
      <c r="W114" s="93">
        <v>350625</v>
      </c>
      <c r="X114" s="93">
        <v>717155</v>
      </c>
      <c r="Y114" s="93">
        <v>91617</v>
      </c>
      <c r="Z114" s="93">
        <v>455870</v>
      </c>
      <c r="AA114" s="93">
        <v>5100965</v>
      </c>
      <c r="AB114" s="93">
        <v>954059</v>
      </c>
      <c r="AC114" s="93">
        <v>209994</v>
      </c>
      <c r="AD114" s="93">
        <v>9242560</v>
      </c>
      <c r="AE114" s="93">
        <v>8349299</v>
      </c>
      <c r="AF114" s="93">
        <v>459012</v>
      </c>
      <c r="AG114" s="93">
        <v>3651013</v>
      </c>
      <c r="AH114" s="93">
        <v>1785236</v>
      </c>
      <c r="AI114" s="93">
        <v>1025596</v>
      </c>
      <c r="AJ114" s="93">
        <v>233416</v>
      </c>
      <c r="AK114" s="93">
        <v>626110</v>
      </c>
      <c r="AL114" s="93">
        <v>463442</v>
      </c>
      <c r="AM114" s="93">
        <v>12715615</v>
      </c>
      <c r="AN114" s="93">
        <v>4881143</v>
      </c>
      <c r="AO114" s="93">
        <v>207409</v>
      </c>
      <c r="AP114" s="93">
        <v>310925</v>
      </c>
      <c r="AQ114" s="93">
        <v>1843023</v>
      </c>
      <c r="AR114" s="93">
        <v>251800</v>
      </c>
      <c r="AS114" s="93">
        <v>477207</v>
      </c>
      <c r="AT114" s="93">
        <v>86157359</v>
      </c>
      <c r="AU114" s="92" t="s">
        <v>312</v>
      </c>
      <c r="AV114" s="258" t="s">
        <v>98</v>
      </c>
      <c r="AW114" s="259"/>
    </row>
    <row r="115" spans="2:49" x14ac:dyDescent="0.35">
      <c r="B115" s="256"/>
      <c r="C115" s="257"/>
      <c r="D115" s="94" t="s">
        <v>345</v>
      </c>
      <c r="E115" s="95">
        <v>844034096.47000003</v>
      </c>
      <c r="F115" s="95">
        <v>104887404.95999999</v>
      </c>
      <c r="G115" s="95">
        <v>174043416.96000001</v>
      </c>
      <c r="H115" s="95">
        <v>4567352655.0600004</v>
      </c>
      <c r="I115" s="95">
        <v>265408745.94</v>
      </c>
      <c r="J115" s="95">
        <v>624062822.35000002</v>
      </c>
      <c r="K115" s="95">
        <v>233120333.15000001</v>
      </c>
      <c r="L115" s="95">
        <v>3731411164.4000001</v>
      </c>
      <c r="M115" s="95">
        <v>1806045189.1700001</v>
      </c>
      <c r="N115" s="95">
        <v>3061062309.0300002</v>
      </c>
      <c r="O115" s="95">
        <v>2884716477.3899999</v>
      </c>
      <c r="P115" s="95">
        <v>2234971668</v>
      </c>
      <c r="Q115" s="95">
        <v>6547341376.46</v>
      </c>
      <c r="R115" s="95">
        <v>4754793902.1800003</v>
      </c>
      <c r="S115" s="95">
        <v>2512455455.1999998</v>
      </c>
      <c r="T115" s="95">
        <v>37593901.850000001</v>
      </c>
      <c r="U115" s="95">
        <v>1233089316.1199999</v>
      </c>
      <c r="V115" s="95">
        <v>1625171685.1199999</v>
      </c>
      <c r="W115" s="95">
        <v>467503663.93000001</v>
      </c>
      <c r="X115" s="95">
        <v>963938248.49000001</v>
      </c>
      <c r="Y115" s="95">
        <v>139766056.78999999</v>
      </c>
      <c r="Z115" s="95">
        <v>766058160.64999998</v>
      </c>
      <c r="AA115" s="95">
        <v>5244544499.0600004</v>
      </c>
      <c r="AB115" s="95">
        <v>1089718067.4100001</v>
      </c>
      <c r="AC115" s="95">
        <v>374323138.37999988</v>
      </c>
      <c r="AD115" s="95">
        <v>14303772624.530001</v>
      </c>
      <c r="AE115" s="95">
        <v>11107080694.59</v>
      </c>
      <c r="AF115" s="95">
        <v>314197545.94999999</v>
      </c>
      <c r="AG115" s="95">
        <v>3289636168.1500001</v>
      </c>
      <c r="AH115" s="95">
        <v>1642099158.8099999</v>
      </c>
      <c r="AI115" s="95">
        <v>1861615291.46</v>
      </c>
      <c r="AJ115" s="95">
        <v>253864949.30000001</v>
      </c>
      <c r="AK115" s="95">
        <v>1232282082</v>
      </c>
      <c r="AL115" s="95">
        <v>611021797.12</v>
      </c>
      <c r="AM115" s="95">
        <v>25154148302.27</v>
      </c>
      <c r="AN115" s="95">
        <v>4338877013.5600004</v>
      </c>
      <c r="AO115" s="95">
        <v>215575856.52000001</v>
      </c>
      <c r="AP115" s="95">
        <v>180985450.37</v>
      </c>
      <c r="AQ115" s="95">
        <v>3795128903.9000001</v>
      </c>
      <c r="AR115" s="95">
        <v>380540791.42000002</v>
      </c>
      <c r="AS115" s="95">
        <v>307535636.25</v>
      </c>
      <c r="AT115" s="95">
        <v>115275776020.72</v>
      </c>
      <c r="AU115" s="94" t="s">
        <v>344</v>
      </c>
      <c r="AV115" s="260"/>
      <c r="AW115" s="261"/>
    </row>
    <row r="116" spans="2:49" x14ac:dyDescent="0.35">
      <c r="B116" s="233">
        <v>2025</v>
      </c>
      <c r="C116" s="250" t="s">
        <v>70</v>
      </c>
      <c r="D116" s="88" t="s">
        <v>313</v>
      </c>
      <c r="E116" s="89">
        <v>26174</v>
      </c>
      <c r="F116" s="89">
        <v>11098</v>
      </c>
      <c r="G116" s="89">
        <v>32924</v>
      </c>
      <c r="H116" s="89">
        <v>192396</v>
      </c>
      <c r="I116" s="89">
        <v>30925</v>
      </c>
      <c r="J116" s="89">
        <v>48769</v>
      </c>
      <c r="K116" s="89">
        <v>55203</v>
      </c>
      <c r="L116" s="89">
        <v>122703</v>
      </c>
      <c r="M116" s="89">
        <v>88489</v>
      </c>
      <c r="N116" s="89">
        <v>245780</v>
      </c>
      <c r="O116" s="89">
        <v>231351</v>
      </c>
      <c r="P116" s="89">
        <v>200637</v>
      </c>
      <c r="Q116" s="89">
        <v>344436</v>
      </c>
      <c r="R116" s="89">
        <v>420933</v>
      </c>
      <c r="S116" s="89">
        <v>185650</v>
      </c>
      <c r="T116" s="89">
        <v>21125</v>
      </c>
      <c r="U116" s="89">
        <v>167583</v>
      </c>
      <c r="V116" s="89">
        <v>330544</v>
      </c>
      <c r="W116" s="89">
        <v>29105</v>
      </c>
      <c r="X116" s="89">
        <v>96852</v>
      </c>
      <c r="Y116" s="89">
        <v>10540</v>
      </c>
      <c r="Z116" s="89">
        <v>49627</v>
      </c>
      <c r="AA116" s="89">
        <v>445735</v>
      </c>
      <c r="AB116" s="89">
        <v>76349</v>
      </c>
      <c r="AC116" s="89">
        <v>39019</v>
      </c>
      <c r="AD116" s="89">
        <v>982980</v>
      </c>
      <c r="AE116" s="89">
        <v>988769</v>
      </c>
      <c r="AF116" s="89">
        <v>49580</v>
      </c>
      <c r="AG116" s="89">
        <v>181650</v>
      </c>
      <c r="AH116" s="89">
        <v>158771</v>
      </c>
      <c r="AI116" s="89">
        <v>69720</v>
      </c>
      <c r="AJ116" s="89">
        <v>34549</v>
      </c>
      <c r="AK116" s="89">
        <v>62882</v>
      </c>
      <c r="AL116" s="89">
        <v>42666</v>
      </c>
      <c r="AM116" s="89">
        <v>1509480</v>
      </c>
      <c r="AN116" s="89">
        <v>584400</v>
      </c>
      <c r="AO116" s="89">
        <v>16240</v>
      </c>
      <c r="AP116" s="89">
        <v>26364</v>
      </c>
      <c r="AQ116" s="89">
        <v>120154</v>
      </c>
      <c r="AR116" s="89">
        <v>16691</v>
      </c>
      <c r="AS116" s="89">
        <v>27972</v>
      </c>
      <c r="AT116" s="89">
        <v>8376815</v>
      </c>
      <c r="AU116" s="88" t="s">
        <v>312</v>
      </c>
      <c r="AV116" s="252" t="s">
        <v>86</v>
      </c>
      <c r="AW116" s="262">
        <v>2025</v>
      </c>
    </row>
    <row r="117" spans="2:49" x14ac:dyDescent="0.35">
      <c r="B117" s="234"/>
      <c r="C117" s="251"/>
      <c r="D117" s="90" t="s">
        <v>345</v>
      </c>
      <c r="E117" s="91">
        <v>24643050.050000001</v>
      </c>
      <c r="F117" s="91">
        <v>9542294.9600000009</v>
      </c>
      <c r="G117" s="91">
        <v>15722505.789999999</v>
      </c>
      <c r="H117" s="91">
        <v>187838990.87</v>
      </c>
      <c r="I117" s="91">
        <v>39287147.030000001</v>
      </c>
      <c r="J117" s="91">
        <v>28252541.32</v>
      </c>
      <c r="K117" s="91">
        <v>27227120.41</v>
      </c>
      <c r="L117" s="91">
        <v>101263662.15000001</v>
      </c>
      <c r="M117" s="91">
        <v>77549261.200000003</v>
      </c>
      <c r="N117" s="91">
        <v>136062359.44</v>
      </c>
      <c r="O117" s="91">
        <v>151395150.97999999</v>
      </c>
      <c r="P117" s="91">
        <v>235560482.47</v>
      </c>
      <c r="Q117" s="91">
        <v>517258103.80000001</v>
      </c>
      <c r="R117" s="91">
        <v>491061652.07999998</v>
      </c>
      <c r="S117" s="91">
        <v>197159771.16999999</v>
      </c>
      <c r="T117" s="91">
        <v>20639269.02</v>
      </c>
      <c r="U117" s="91">
        <v>103918259.52</v>
      </c>
      <c r="V117" s="91">
        <v>220356434.22999999</v>
      </c>
      <c r="W117" s="91">
        <v>39247187.18</v>
      </c>
      <c r="X117" s="91">
        <v>73647647.989999995</v>
      </c>
      <c r="Y117" s="91">
        <v>9656679.3000000007</v>
      </c>
      <c r="Z117" s="91">
        <v>83553663.430000007</v>
      </c>
      <c r="AA117" s="91">
        <v>520117819.19999999</v>
      </c>
      <c r="AB117" s="91">
        <v>88832852.790000007</v>
      </c>
      <c r="AC117" s="91">
        <v>42326054.140000001</v>
      </c>
      <c r="AD117" s="91">
        <v>1700492546.21</v>
      </c>
      <c r="AE117" s="91">
        <v>768741523.90999997</v>
      </c>
      <c r="AF117" s="91">
        <v>35664774.689999998</v>
      </c>
      <c r="AG117" s="91">
        <v>171305957.90000001</v>
      </c>
      <c r="AH117" s="91">
        <v>87134980.329999998</v>
      </c>
      <c r="AI117" s="91">
        <v>70242599.719999999</v>
      </c>
      <c r="AJ117" s="91">
        <v>47275088.700000003</v>
      </c>
      <c r="AK117" s="91">
        <v>84623702.560000002</v>
      </c>
      <c r="AL117" s="91">
        <v>68908785.170000002</v>
      </c>
      <c r="AM117" s="91">
        <v>3269981334.0700002</v>
      </c>
      <c r="AN117" s="91">
        <v>446705250.85000002</v>
      </c>
      <c r="AO117" s="91">
        <v>18705177.989999998</v>
      </c>
      <c r="AP117" s="91">
        <v>14947289.15</v>
      </c>
      <c r="AQ117" s="91">
        <v>318720131.26999998</v>
      </c>
      <c r="AR117" s="91">
        <v>33341210.030000001</v>
      </c>
      <c r="AS117" s="91">
        <v>15552604</v>
      </c>
      <c r="AT117" s="91">
        <v>10594462917.07</v>
      </c>
      <c r="AU117" s="90" t="s">
        <v>344</v>
      </c>
      <c r="AV117" s="253"/>
      <c r="AW117" s="263"/>
    </row>
    <row r="118" spans="2:49" x14ac:dyDescent="0.35">
      <c r="B118" s="234"/>
      <c r="C118" s="250" t="s">
        <v>71</v>
      </c>
      <c r="D118" s="88" t="s">
        <v>313</v>
      </c>
      <c r="E118" s="89">
        <v>24597</v>
      </c>
      <c r="F118" s="89">
        <v>10206</v>
      </c>
      <c r="G118" s="89">
        <v>25383</v>
      </c>
      <c r="H118" s="89">
        <v>170453</v>
      </c>
      <c r="I118" s="89">
        <v>25864</v>
      </c>
      <c r="J118" s="89">
        <v>40649</v>
      </c>
      <c r="K118" s="89">
        <v>47002</v>
      </c>
      <c r="L118" s="89">
        <v>120778</v>
      </c>
      <c r="M118" s="89">
        <v>80419</v>
      </c>
      <c r="N118" s="89">
        <v>191845</v>
      </c>
      <c r="O118" s="89">
        <v>212251</v>
      </c>
      <c r="P118" s="89">
        <v>178196</v>
      </c>
      <c r="Q118" s="89">
        <v>295534</v>
      </c>
      <c r="R118" s="89">
        <v>371986</v>
      </c>
      <c r="S118" s="89">
        <v>157673</v>
      </c>
      <c r="T118" s="89">
        <v>19949</v>
      </c>
      <c r="U118" s="89">
        <v>114875</v>
      </c>
      <c r="V118" s="89">
        <v>244104</v>
      </c>
      <c r="W118" s="89">
        <v>25448</v>
      </c>
      <c r="X118" s="89">
        <v>92275</v>
      </c>
      <c r="Y118" s="89">
        <v>9146</v>
      </c>
      <c r="Z118" s="89">
        <v>35069</v>
      </c>
      <c r="AA118" s="89">
        <v>366805</v>
      </c>
      <c r="AB118" s="89">
        <v>66863</v>
      </c>
      <c r="AC118" s="89">
        <v>34619</v>
      </c>
      <c r="AD118" s="89">
        <v>830583</v>
      </c>
      <c r="AE118" s="89">
        <v>804406</v>
      </c>
      <c r="AF118" s="89">
        <v>41817</v>
      </c>
      <c r="AG118" s="89">
        <v>168275</v>
      </c>
      <c r="AH118" s="89">
        <v>151004</v>
      </c>
      <c r="AI118" s="89">
        <v>64388</v>
      </c>
      <c r="AJ118" s="89">
        <v>38418</v>
      </c>
      <c r="AK118" s="89">
        <v>55751</v>
      </c>
      <c r="AL118" s="89">
        <v>36811</v>
      </c>
      <c r="AM118" s="89">
        <v>1317054</v>
      </c>
      <c r="AN118" s="89">
        <v>520600</v>
      </c>
      <c r="AO118" s="89">
        <v>14953</v>
      </c>
      <c r="AP118" s="89">
        <v>30576</v>
      </c>
      <c r="AQ118" s="89">
        <v>110739</v>
      </c>
      <c r="AR118" s="89">
        <v>14966</v>
      </c>
      <c r="AS118" s="89">
        <v>24270</v>
      </c>
      <c r="AT118" s="89">
        <v>7186600</v>
      </c>
      <c r="AU118" s="88" t="s">
        <v>312</v>
      </c>
      <c r="AV118" s="252" t="s">
        <v>87</v>
      </c>
      <c r="AW118" s="263"/>
    </row>
    <row r="119" spans="2:49" x14ac:dyDescent="0.35">
      <c r="B119" s="234"/>
      <c r="C119" s="251"/>
      <c r="D119" s="90" t="s">
        <v>345</v>
      </c>
      <c r="E119" s="91">
        <v>18129098.25</v>
      </c>
      <c r="F119" s="91">
        <v>6833498.2800000003</v>
      </c>
      <c r="G119" s="91">
        <v>11885605.560000001</v>
      </c>
      <c r="H119" s="91">
        <v>240272835.13</v>
      </c>
      <c r="I119" s="91">
        <v>14262440.109999999</v>
      </c>
      <c r="J119" s="91">
        <v>33761593.5</v>
      </c>
      <c r="K119" s="91">
        <v>24883947.760000002</v>
      </c>
      <c r="L119" s="91">
        <v>87893761.010000005</v>
      </c>
      <c r="M119" s="91">
        <v>93836341.760000005</v>
      </c>
      <c r="N119" s="91">
        <v>101329889.81</v>
      </c>
      <c r="O119" s="91">
        <v>99787184.349999994</v>
      </c>
      <c r="P119" s="91">
        <v>202108720.03999999</v>
      </c>
      <c r="Q119" s="91">
        <v>331065373.31</v>
      </c>
      <c r="R119" s="91">
        <v>349627869.56</v>
      </c>
      <c r="S119" s="91">
        <v>175950109.88999999</v>
      </c>
      <c r="T119" s="91">
        <v>18491579.690000001</v>
      </c>
      <c r="U119" s="91">
        <v>74441327.230000004</v>
      </c>
      <c r="V119" s="91">
        <v>139290522.40000001</v>
      </c>
      <c r="W119" s="91">
        <v>30278300.989999998</v>
      </c>
      <c r="X119" s="91">
        <v>100791929.36</v>
      </c>
      <c r="Y119" s="91">
        <v>7890826.6900000004</v>
      </c>
      <c r="Z119" s="91">
        <v>102972303.34999999</v>
      </c>
      <c r="AA119" s="91">
        <v>462533086.58999997</v>
      </c>
      <c r="AB119" s="91">
        <v>105062258.22</v>
      </c>
      <c r="AC119" s="91">
        <v>29239062.960000001</v>
      </c>
      <c r="AD119" s="91">
        <v>1380039476.0799999</v>
      </c>
      <c r="AE119" s="91">
        <v>752841471.98000002</v>
      </c>
      <c r="AF119" s="91">
        <v>16352050.34</v>
      </c>
      <c r="AG119" s="91">
        <v>157084282.69999999</v>
      </c>
      <c r="AH119" s="91">
        <v>66644675.590000004</v>
      </c>
      <c r="AI119" s="91">
        <v>34802985.359999999</v>
      </c>
      <c r="AJ119" s="91">
        <v>22374290.800000001</v>
      </c>
      <c r="AK119" s="91">
        <v>51339617.219999999</v>
      </c>
      <c r="AL119" s="91">
        <v>35142807.390000001</v>
      </c>
      <c r="AM119" s="91">
        <v>2396993744.27</v>
      </c>
      <c r="AN119" s="91">
        <v>280628560.79000002</v>
      </c>
      <c r="AO119" s="91">
        <v>14177842.810000001</v>
      </c>
      <c r="AP119" s="91">
        <v>32509116.329999998</v>
      </c>
      <c r="AQ119" s="91">
        <v>221511676.62</v>
      </c>
      <c r="AR119" s="91">
        <v>26633106.91</v>
      </c>
      <c r="AS119" s="91">
        <v>15442334.609999999</v>
      </c>
      <c r="AT119" s="91">
        <v>8367137505.6000004</v>
      </c>
      <c r="AU119" s="90" t="s">
        <v>344</v>
      </c>
      <c r="AV119" s="253"/>
      <c r="AW119" s="263"/>
    </row>
    <row r="120" spans="2:49" x14ac:dyDescent="0.35">
      <c r="B120" s="234"/>
      <c r="C120" s="250" t="s">
        <v>72</v>
      </c>
      <c r="D120" s="88" t="s">
        <v>313</v>
      </c>
      <c r="E120" s="89">
        <v>28974</v>
      </c>
      <c r="F120" s="89">
        <v>14253</v>
      </c>
      <c r="G120" s="89">
        <v>39840</v>
      </c>
      <c r="H120" s="89">
        <v>162559</v>
      </c>
      <c r="I120" s="89">
        <v>33519</v>
      </c>
      <c r="J120" s="89">
        <v>40513</v>
      </c>
      <c r="K120" s="89">
        <v>57777</v>
      </c>
      <c r="L120" s="89">
        <v>115280</v>
      </c>
      <c r="M120" s="89">
        <v>85411</v>
      </c>
      <c r="N120" s="89">
        <v>243962</v>
      </c>
      <c r="O120" s="89">
        <v>198475</v>
      </c>
      <c r="P120" s="89">
        <v>123873</v>
      </c>
      <c r="Q120" s="89">
        <v>227161</v>
      </c>
      <c r="R120" s="89">
        <v>312981</v>
      </c>
      <c r="S120" s="89">
        <v>160060</v>
      </c>
      <c r="T120" s="89">
        <v>22077</v>
      </c>
      <c r="U120" s="89">
        <v>106544</v>
      </c>
      <c r="V120" s="89">
        <v>220380</v>
      </c>
      <c r="W120" s="89">
        <v>27690</v>
      </c>
      <c r="X120" s="89">
        <v>80739</v>
      </c>
      <c r="Y120" s="89">
        <v>8149</v>
      </c>
      <c r="Z120" s="89">
        <v>28229</v>
      </c>
      <c r="AA120" s="89">
        <v>515079</v>
      </c>
      <c r="AB120" s="89">
        <v>50347</v>
      </c>
      <c r="AC120" s="89">
        <v>49645</v>
      </c>
      <c r="AD120" s="89">
        <v>861084</v>
      </c>
      <c r="AE120" s="89">
        <v>3124927</v>
      </c>
      <c r="AF120" s="89">
        <v>39584</v>
      </c>
      <c r="AG120" s="89">
        <v>240341</v>
      </c>
      <c r="AH120" s="89">
        <v>178424</v>
      </c>
      <c r="AI120" s="89">
        <v>70990</v>
      </c>
      <c r="AJ120" s="89">
        <v>46888</v>
      </c>
      <c r="AK120" s="89">
        <v>50855</v>
      </c>
      <c r="AL120" s="89">
        <v>37361</v>
      </c>
      <c r="AM120" s="89">
        <v>991798</v>
      </c>
      <c r="AN120" s="89">
        <v>509240</v>
      </c>
      <c r="AO120" s="89">
        <v>13578</v>
      </c>
      <c r="AP120" s="89">
        <v>29369</v>
      </c>
      <c r="AQ120" s="89">
        <v>96584</v>
      </c>
      <c r="AR120" s="89">
        <v>17589</v>
      </c>
      <c r="AS120" s="89">
        <v>29236</v>
      </c>
      <c r="AT120" s="89">
        <v>9291365</v>
      </c>
      <c r="AU120" s="88" t="s">
        <v>312</v>
      </c>
      <c r="AV120" s="252" t="s">
        <v>88</v>
      </c>
      <c r="AW120" s="263"/>
    </row>
    <row r="121" spans="2:49" x14ac:dyDescent="0.35">
      <c r="B121" s="234"/>
      <c r="C121" s="251"/>
      <c r="D121" s="90" t="s">
        <v>345</v>
      </c>
      <c r="E121" s="91">
        <v>27251332.420000002</v>
      </c>
      <c r="F121" s="91">
        <v>12388613.18</v>
      </c>
      <c r="G121" s="91">
        <v>27703829.23</v>
      </c>
      <c r="H121" s="91">
        <v>123721767.16</v>
      </c>
      <c r="I121" s="91">
        <v>19772453.719999999</v>
      </c>
      <c r="J121" s="91">
        <v>22778105.370000001</v>
      </c>
      <c r="K121" s="91">
        <v>33750959.590000004</v>
      </c>
      <c r="L121" s="91">
        <v>119619394.75</v>
      </c>
      <c r="M121" s="91">
        <v>63799630.130000003</v>
      </c>
      <c r="N121" s="91">
        <v>149409218.86000001</v>
      </c>
      <c r="O121" s="91">
        <v>280393708.98000002</v>
      </c>
      <c r="P121" s="91">
        <v>225359186.83000001</v>
      </c>
      <c r="Q121" s="91">
        <v>651993888</v>
      </c>
      <c r="R121" s="91">
        <v>405785208.42000002</v>
      </c>
      <c r="S121" s="91">
        <v>183442223.56</v>
      </c>
      <c r="T121" s="91">
        <v>13249542.300000001</v>
      </c>
      <c r="U121" s="91">
        <v>89145247.849999994</v>
      </c>
      <c r="V121" s="91">
        <v>152026413.40000001</v>
      </c>
      <c r="W121" s="91">
        <v>48035583.32</v>
      </c>
      <c r="X121" s="91">
        <v>58998619.509999998</v>
      </c>
      <c r="Y121" s="91">
        <v>4899526.75</v>
      </c>
      <c r="Z121" s="91">
        <v>29446498.149999999</v>
      </c>
      <c r="AA121" s="91">
        <v>733829578.77999997</v>
      </c>
      <c r="AB121" s="91">
        <v>49639902.829999998</v>
      </c>
      <c r="AC121" s="91">
        <v>40823060.950000003</v>
      </c>
      <c r="AD121" s="91">
        <v>1934538247.75</v>
      </c>
      <c r="AE121" s="91">
        <v>4073892697.9099998</v>
      </c>
      <c r="AF121" s="91">
        <v>28948647.77</v>
      </c>
      <c r="AG121" s="91">
        <v>246421272.90000001</v>
      </c>
      <c r="AH121" s="91">
        <v>136108058.62</v>
      </c>
      <c r="AI121" s="91">
        <v>137256724.88999999</v>
      </c>
      <c r="AJ121" s="91">
        <v>171540146.56</v>
      </c>
      <c r="AK121" s="91">
        <v>72427438.659999996</v>
      </c>
      <c r="AL121" s="91">
        <v>37349116.020000003</v>
      </c>
      <c r="AM121" s="91">
        <v>2244110105.3600001</v>
      </c>
      <c r="AN121" s="91">
        <v>396066132.63</v>
      </c>
      <c r="AO121" s="91">
        <v>16213580.689999999</v>
      </c>
      <c r="AP121" s="91">
        <v>18070401.640000001</v>
      </c>
      <c r="AQ121" s="91">
        <v>192492568.11000001</v>
      </c>
      <c r="AR121" s="91">
        <v>15763124.939999999</v>
      </c>
      <c r="AS121" s="91">
        <v>23398986.100000001</v>
      </c>
      <c r="AT121" s="91">
        <v>13311860744.59</v>
      </c>
      <c r="AU121" s="90" t="s">
        <v>344</v>
      </c>
      <c r="AV121" s="253"/>
      <c r="AW121" s="263"/>
    </row>
    <row r="122" spans="2:49" x14ac:dyDescent="0.35">
      <c r="B122" s="234"/>
      <c r="C122" s="250" t="s">
        <v>73</v>
      </c>
      <c r="D122" s="88" t="s">
        <v>313</v>
      </c>
      <c r="E122" s="89">
        <v>30272</v>
      </c>
      <c r="F122" s="89">
        <v>11038</v>
      </c>
      <c r="G122" s="89">
        <v>22122</v>
      </c>
      <c r="H122" s="89">
        <v>131844</v>
      </c>
      <c r="I122" s="89">
        <v>16966</v>
      </c>
      <c r="J122" s="89">
        <v>29071</v>
      </c>
      <c r="K122" s="89">
        <v>33163</v>
      </c>
      <c r="L122" s="89">
        <v>145211</v>
      </c>
      <c r="M122" s="89">
        <v>79246</v>
      </c>
      <c r="N122" s="89">
        <v>158897</v>
      </c>
      <c r="O122" s="89">
        <v>174570</v>
      </c>
      <c r="P122" s="89">
        <v>212241</v>
      </c>
      <c r="Q122" s="89">
        <v>286070</v>
      </c>
      <c r="R122" s="89">
        <v>343761</v>
      </c>
      <c r="S122" s="89">
        <v>134278</v>
      </c>
      <c r="T122" s="89">
        <v>18696</v>
      </c>
      <c r="U122" s="89">
        <v>88310</v>
      </c>
      <c r="V122" s="89">
        <v>189769</v>
      </c>
      <c r="W122" s="89">
        <v>25461</v>
      </c>
      <c r="X122" s="89">
        <v>85628</v>
      </c>
      <c r="Y122" s="89">
        <v>9494</v>
      </c>
      <c r="Z122" s="89">
        <v>26218</v>
      </c>
      <c r="AA122" s="89">
        <v>341456</v>
      </c>
      <c r="AB122" s="89">
        <v>62145</v>
      </c>
      <c r="AC122" s="89">
        <v>27854</v>
      </c>
      <c r="AD122" s="89">
        <v>788412</v>
      </c>
      <c r="AE122" s="89">
        <v>664273</v>
      </c>
      <c r="AF122" s="89">
        <v>42013</v>
      </c>
      <c r="AG122" s="89">
        <v>239183</v>
      </c>
      <c r="AH122" s="89">
        <v>134875</v>
      </c>
      <c r="AI122" s="89">
        <v>63652</v>
      </c>
      <c r="AJ122" s="89">
        <v>35357</v>
      </c>
      <c r="AK122" s="89">
        <v>45794</v>
      </c>
      <c r="AL122" s="89">
        <v>34536</v>
      </c>
      <c r="AM122" s="89">
        <v>1208912</v>
      </c>
      <c r="AN122" s="89">
        <v>424125</v>
      </c>
      <c r="AO122" s="89">
        <v>13770</v>
      </c>
      <c r="AP122" s="89">
        <v>33191</v>
      </c>
      <c r="AQ122" s="89">
        <v>101681</v>
      </c>
      <c r="AR122" s="89">
        <v>16415</v>
      </c>
      <c r="AS122" s="89">
        <v>35771</v>
      </c>
      <c r="AT122" s="89">
        <v>6565741</v>
      </c>
      <c r="AU122" s="88" t="s">
        <v>312</v>
      </c>
      <c r="AV122" s="252" t="s">
        <v>89</v>
      </c>
      <c r="AW122" s="263"/>
    </row>
    <row r="123" spans="2:49" x14ac:dyDescent="0.35">
      <c r="B123" s="234"/>
      <c r="C123" s="251"/>
      <c r="D123" s="90" t="s">
        <v>345</v>
      </c>
      <c r="E123" s="91">
        <v>25421055.129999999</v>
      </c>
      <c r="F123" s="91">
        <v>10115404.859999999</v>
      </c>
      <c r="G123" s="91">
        <v>31309044.32</v>
      </c>
      <c r="H123" s="91">
        <v>110894771.28</v>
      </c>
      <c r="I123" s="91">
        <v>18136570.84</v>
      </c>
      <c r="J123" s="91">
        <v>21829555.640000001</v>
      </c>
      <c r="K123" s="91">
        <v>21659695.420000002</v>
      </c>
      <c r="L123" s="91">
        <v>135554094.13999999</v>
      </c>
      <c r="M123" s="91">
        <v>95291597.769999996</v>
      </c>
      <c r="N123" s="91">
        <v>93640008.030000001</v>
      </c>
      <c r="O123" s="91">
        <v>149595993.91</v>
      </c>
      <c r="P123" s="91">
        <v>276206875.13</v>
      </c>
      <c r="Q123" s="91">
        <v>360240216.94999999</v>
      </c>
      <c r="R123" s="91">
        <v>351176693.31</v>
      </c>
      <c r="S123" s="91">
        <v>149315374.61000001</v>
      </c>
      <c r="T123" s="91">
        <v>15202726.609999999</v>
      </c>
      <c r="U123" s="91">
        <v>53691478.43</v>
      </c>
      <c r="V123" s="91">
        <v>106158674.54000001</v>
      </c>
      <c r="W123" s="91">
        <v>22195144.199999999</v>
      </c>
      <c r="X123" s="91">
        <v>80626043.379999995</v>
      </c>
      <c r="Y123" s="91">
        <v>7539383.9299999997</v>
      </c>
      <c r="Z123" s="91">
        <v>67830325.840000004</v>
      </c>
      <c r="AA123" s="91">
        <v>418015439.95999998</v>
      </c>
      <c r="AB123" s="91">
        <v>123531877.09999999</v>
      </c>
      <c r="AC123" s="91">
        <v>25373239.5</v>
      </c>
      <c r="AD123" s="91">
        <v>1361854183.02</v>
      </c>
      <c r="AE123" s="91">
        <v>660048124.54999995</v>
      </c>
      <c r="AF123" s="91">
        <v>43667276.189999998</v>
      </c>
      <c r="AG123" s="91">
        <v>179725959.02000001</v>
      </c>
      <c r="AH123" s="91">
        <v>56128127.869999997</v>
      </c>
      <c r="AI123" s="91">
        <v>98356089.340000004</v>
      </c>
      <c r="AJ123" s="91">
        <v>13900411.68</v>
      </c>
      <c r="AK123" s="91">
        <v>47736947.68</v>
      </c>
      <c r="AL123" s="91">
        <v>22642297.120000001</v>
      </c>
      <c r="AM123" s="91">
        <v>2699374976.3299999</v>
      </c>
      <c r="AN123" s="91">
        <v>284259975.45999998</v>
      </c>
      <c r="AO123" s="91">
        <v>10152061.43</v>
      </c>
      <c r="AP123" s="91">
        <v>20686851.219999999</v>
      </c>
      <c r="AQ123" s="91">
        <v>285328610.02999997</v>
      </c>
      <c r="AR123" s="91">
        <v>28287440.109999999</v>
      </c>
      <c r="AS123" s="91">
        <v>16494148.619999999</v>
      </c>
      <c r="AT123" s="91">
        <v>8599194764.5</v>
      </c>
      <c r="AU123" s="90" t="s">
        <v>344</v>
      </c>
      <c r="AV123" s="253"/>
      <c r="AW123" s="263"/>
    </row>
    <row r="124" spans="2:49" x14ac:dyDescent="0.35">
      <c r="B124" s="234"/>
      <c r="C124" s="250" t="s">
        <v>74</v>
      </c>
      <c r="D124" s="88" t="s">
        <v>313</v>
      </c>
      <c r="E124" s="89">
        <v>41926</v>
      </c>
      <c r="F124" s="89">
        <v>16242</v>
      </c>
      <c r="G124" s="89">
        <v>28422</v>
      </c>
      <c r="H124" s="89">
        <v>162093</v>
      </c>
      <c r="I124" s="89">
        <v>22833</v>
      </c>
      <c r="J124" s="89">
        <v>37382</v>
      </c>
      <c r="K124" s="89">
        <v>40108</v>
      </c>
      <c r="L124" s="89">
        <v>210439</v>
      </c>
      <c r="M124" s="89">
        <v>105507</v>
      </c>
      <c r="N124" s="89">
        <v>196055</v>
      </c>
      <c r="O124" s="89">
        <v>200517</v>
      </c>
      <c r="P124" s="89">
        <v>230267</v>
      </c>
      <c r="Q124" s="89">
        <v>316215</v>
      </c>
      <c r="R124" s="89">
        <v>390217</v>
      </c>
      <c r="S124" s="89">
        <v>162241</v>
      </c>
      <c r="T124" s="89">
        <v>20922</v>
      </c>
      <c r="U124" s="89">
        <v>107644</v>
      </c>
      <c r="V124" s="89">
        <v>189990</v>
      </c>
      <c r="W124" s="89">
        <v>31715</v>
      </c>
      <c r="X124" s="89">
        <v>96786</v>
      </c>
      <c r="Y124" s="89">
        <v>8358</v>
      </c>
      <c r="Z124" s="89">
        <v>25708</v>
      </c>
      <c r="AA124" s="89">
        <v>311065</v>
      </c>
      <c r="AB124" s="89">
        <v>71235</v>
      </c>
      <c r="AC124" s="89">
        <v>34488</v>
      </c>
      <c r="AD124" s="89">
        <v>885565</v>
      </c>
      <c r="AE124" s="89">
        <v>696196</v>
      </c>
      <c r="AF124" s="89">
        <v>41644</v>
      </c>
      <c r="AG124" s="89">
        <v>242084</v>
      </c>
      <c r="AH124" s="89">
        <v>150542</v>
      </c>
      <c r="AI124" s="89">
        <v>68488</v>
      </c>
      <c r="AJ124" s="89">
        <v>37487</v>
      </c>
      <c r="AK124" s="89">
        <v>49520</v>
      </c>
      <c r="AL124" s="89">
        <v>39031</v>
      </c>
      <c r="AM124" s="89">
        <v>1352390</v>
      </c>
      <c r="AN124" s="89">
        <v>468376</v>
      </c>
      <c r="AO124" s="89">
        <v>15243</v>
      </c>
      <c r="AP124" s="89">
        <v>35230</v>
      </c>
      <c r="AQ124" s="89">
        <v>125108</v>
      </c>
      <c r="AR124" s="89">
        <v>19582</v>
      </c>
      <c r="AS124" s="89">
        <v>48473</v>
      </c>
      <c r="AT124" s="89">
        <v>7333334</v>
      </c>
      <c r="AU124" s="88" t="s">
        <v>312</v>
      </c>
      <c r="AV124" s="252" t="s">
        <v>90</v>
      </c>
      <c r="AW124" s="263"/>
    </row>
    <row r="125" spans="2:49" x14ac:dyDescent="0.35">
      <c r="B125" s="234"/>
      <c r="C125" s="251"/>
      <c r="D125" s="90" t="s">
        <v>345</v>
      </c>
      <c r="E125" s="91">
        <v>42597045.390000001</v>
      </c>
      <c r="F125" s="91">
        <v>10790575.890000001</v>
      </c>
      <c r="G125" s="91">
        <v>18373454.739999998</v>
      </c>
      <c r="H125" s="91">
        <v>146335583.87</v>
      </c>
      <c r="I125" s="91">
        <v>17406233.460000001</v>
      </c>
      <c r="J125" s="91">
        <v>36425233.07</v>
      </c>
      <c r="K125" s="91">
        <v>22874223.879999999</v>
      </c>
      <c r="L125" s="91">
        <v>186386438.94999999</v>
      </c>
      <c r="M125" s="91">
        <v>106092155.79000001</v>
      </c>
      <c r="N125" s="91">
        <v>120124839.94</v>
      </c>
      <c r="O125" s="91">
        <v>208640536.96000001</v>
      </c>
      <c r="P125" s="91">
        <v>365024148.95999998</v>
      </c>
      <c r="Q125" s="91">
        <v>406553988.48000002</v>
      </c>
      <c r="R125" s="91">
        <v>317752480.94</v>
      </c>
      <c r="S125" s="91">
        <v>190273769.77000001</v>
      </c>
      <c r="T125" s="91">
        <v>19778550.5</v>
      </c>
      <c r="U125" s="91">
        <v>282127276.81999999</v>
      </c>
      <c r="V125" s="91">
        <v>210454355.91</v>
      </c>
      <c r="W125" s="91">
        <v>33299670.43</v>
      </c>
      <c r="X125" s="91">
        <v>96331964.420000002</v>
      </c>
      <c r="Y125" s="91">
        <v>9779476.2899999991</v>
      </c>
      <c r="Z125" s="91">
        <v>43397340.729999997</v>
      </c>
      <c r="AA125" s="91">
        <v>484988194.31999999</v>
      </c>
      <c r="AB125" s="91">
        <v>70907370.239999995</v>
      </c>
      <c r="AC125" s="91">
        <v>39306470.890000001</v>
      </c>
      <c r="AD125" s="91">
        <v>1482005495.6300001</v>
      </c>
      <c r="AE125" s="91">
        <v>1690156211.9000001</v>
      </c>
      <c r="AF125" s="91">
        <v>14609990.609999999</v>
      </c>
      <c r="AG125" s="91">
        <v>214538071.75</v>
      </c>
      <c r="AH125" s="91">
        <v>107914388.02</v>
      </c>
      <c r="AI125" s="91">
        <v>102432901.48999999</v>
      </c>
      <c r="AJ125" s="91">
        <v>36996467.170000002</v>
      </c>
      <c r="AK125" s="91">
        <v>206482491.47999999</v>
      </c>
      <c r="AL125" s="91">
        <v>41294054.270000003</v>
      </c>
      <c r="AM125" s="91">
        <v>3382906392.6599998</v>
      </c>
      <c r="AN125" s="91">
        <v>341327042.20999998</v>
      </c>
      <c r="AO125" s="91">
        <v>8989713.0299999993</v>
      </c>
      <c r="AP125" s="91">
        <v>61416399.539999999</v>
      </c>
      <c r="AQ125" s="91">
        <v>272445950.88999999</v>
      </c>
      <c r="AR125" s="91">
        <v>24036605.25</v>
      </c>
      <c r="AS125" s="91">
        <v>24804749.949999999</v>
      </c>
      <c r="AT125" s="91">
        <v>11498378306.49</v>
      </c>
      <c r="AU125" s="90" t="s">
        <v>344</v>
      </c>
      <c r="AV125" s="253"/>
      <c r="AW125" s="263"/>
    </row>
    <row r="126" spans="2:49" x14ac:dyDescent="0.35">
      <c r="B126" s="234"/>
      <c r="C126" s="250" t="s">
        <v>75</v>
      </c>
      <c r="D126" s="88" t="s">
        <v>313</v>
      </c>
      <c r="E126" s="89">
        <v>71607</v>
      </c>
      <c r="F126" s="89">
        <v>24219</v>
      </c>
      <c r="G126" s="89">
        <v>38066</v>
      </c>
      <c r="H126" s="89">
        <v>167212</v>
      </c>
      <c r="I126" s="89">
        <v>28153</v>
      </c>
      <c r="J126" s="89">
        <v>42751</v>
      </c>
      <c r="K126" s="89">
        <v>53189</v>
      </c>
      <c r="L126" s="89">
        <v>223720</v>
      </c>
      <c r="M126" s="89">
        <v>121025</v>
      </c>
      <c r="N126" s="89">
        <v>224313</v>
      </c>
      <c r="O126" s="89">
        <v>210703</v>
      </c>
      <c r="P126" s="89">
        <v>202814</v>
      </c>
      <c r="Q126" s="89">
        <v>299961</v>
      </c>
      <c r="R126" s="89">
        <v>405772</v>
      </c>
      <c r="S126" s="89">
        <v>176029</v>
      </c>
      <c r="T126" s="89">
        <v>26442</v>
      </c>
      <c r="U126" s="89">
        <v>122254</v>
      </c>
      <c r="V126" s="89">
        <v>209855</v>
      </c>
      <c r="W126" s="89">
        <v>33166</v>
      </c>
      <c r="X126" s="89">
        <v>96539</v>
      </c>
      <c r="Y126" s="89">
        <v>9331</v>
      </c>
      <c r="Z126" s="89">
        <v>29632</v>
      </c>
      <c r="AA126" s="89">
        <v>405478</v>
      </c>
      <c r="AB126" s="89">
        <v>67381</v>
      </c>
      <c r="AC126" s="89">
        <v>43172</v>
      </c>
      <c r="AD126" s="89">
        <v>813223</v>
      </c>
      <c r="AE126" s="89">
        <v>867765</v>
      </c>
      <c r="AF126" s="89">
        <v>41936</v>
      </c>
      <c r="AG126" s="89">
        <v>314976</v>
      </c>
      <c r="AH126" s="89">
        <v>171398</v>
      </c>
      <c r="AI126" s="89">
        <v>79899</v>
      </c>
      <c r="AJ126" s="89">
        <v>49447</v>
      </c>
      <c r="AK126" s="89">
        <v>49288</v>
      </c>
      <c r="AL126" s="89">
        <v>42890</v>
      </c>
      <c r="AM126" s="89">
        <v>1244673</v>
      </c>
      <c r="AN126" s="89">
        <v>534175</v>
      </c>
      <c r="AO126" s="89">
        <v>14911</v>
      </c>
      <c r="AP126" s="89">
        <v>34334</v>
      </c>
      <c r="AQ126" s="89">
        <v>122914</v>
      </c>
      <c r="AR126" s="89">
        <v>18634</v>
      </c>
      <c r="AS126" s="89">
        <v>53653</v>
      </c>
      <c r="AT126" s="89">
        <v>7786900</v>
      </c>
      <c r="AU126" s="88" t="s">
        <v>312</v>
      </c>
      <c r="AV126" s="252" t="s">
        <v>91</v>
      </c>
      <c r="AW126" s="263"/>
    </row>
    <row r="127" spans="2:49" x14ac:dyDescent="0.35">
      <c r="B127" s="234"/>
      <c r="C127" s="251"/>
      <c r="D127" s="90" t="s">
        <v>345</v>
      </c>
      <c r="E127" s="91">
        <v>88856308.450000003</v>
      </c>
      <c r="F127" s="91">
        <v>31102918.739999998</v>
      </c>
      <c r="G127" s="91">
        <v>25969269.199999999</v>
      </c>
      <c r="H127" s="91">
        <v>136396372.71000001</v>
      </c>
      <c r="I127" s="91">
        <v>45818362.469999999</v>
      </c>
      <c r="J127" s="91">
        <v>34733794.380000003</v>
      </c>
      <c r="K127" s="91">
        <v>31769227.829999998</v>
      </c>
      <c r="L127" s="91">
        <v>358078428.80000001</v>
      </c>
      <c r="M127" s="91">
        <v>228524381.12</v>
      </c>
      <c r="N127" s="91">
        <v>218297221.28999999</v>
      </c>
      <c r="O127" s="91">
        <v>188455282</v>
      </c>
      <c r="P127" s="91">
        <v>307568630.77999997</v>
      </c>
      <c r="Q127" s="91">
        <v>546791962.54999995</v>
      </c>
      <c r="R127" s="91">
        <v>446746766.70999998</v>
      </c>
      <c r="S127" s="91">
        <v>271506016.52999997</v>
      </c>
      <c r="T127" s="91">
        <v>26071733.510000002</v>
      </c>
      <c r="U127" s="91">
        <v>163155474.83000001</v>
      </c>
      <c r="V127" s="91">
        <v>177934632.25</v>
      </c>
      <c r="W127" s="91">
        <v>39492606.149999999</v>
      </c>
      <c r="X127" s="91">
        <v>175571459.00999999</v>
      </c>
      <c r="Y127" s="91">
        <v>12202644.01</v>
      </c>
      <c r="Z127" s="91">
        <v>142374222.03</v>
      </c>
      <c r="AA127" s="91">
        <v>648947611.76999998</v>
      </c>
      <c r="AB127" s="91">
        <v>140087556.69</v>
      </c>
      <c r="AC127" s="91">
        <v>67891558.920000002</v>
      </c>
      <c r="AD127" s="91">
        <v>2060932808.8</v>
      </c>
      <c r="AE127" s="91">
        <v>2934347478.0900002</v>
      </c>
      <c r="AF127" s="91">
        <v>23413469.75</v>
      </c>
      <c r="AG127" s="91">
        <v>352807171.5</v>
      </c>
      <c r="AH127" s="91">
        <v>164902698.05000001</v>
      </c>
      <c r="AI127" s="91">
        <v>107270992.36</v>
      </c>
      <c r="AJ127" s="91">
        <v>34152205.25</v>
      </c>
      <c r="AK127" s="91">
        <v>162754604.75999999</v>
      </c>
      <c r="AL127" s="91">
        <v>50676873.759999998</v>
      </c>
      <c r="AM127" s="91">
        <v>3090418589.75</v>
      </c>
      <c r="AN127" s="91">
        <v>621925419.40999997</v>
      </c>
      <c r="AO127" s="91">
        <v>26037219.620000001</v>
      </c>
      <c r="AP127" s="91">
        <v>28808054.309999999</v>
      </c>
      <c r="AQ127" s="91">
        <v>334612375.75</v>
      </c>
      <c r="AR127" s="91">
        <v>42370752.380000003</v>
      </c>
      <c r="AS127" s="91">
        <v>42402084.649999999</v>
      </c>
      <c r="AT127" s="91">
        <v>14632177240.92</v>
      </c>
      <c r="AU127" s="90" t="s">
        <v>344</v>
      </c>
      <c r="AV127" s="253"/>
      <c r="AW127" s="263"/>
    </row>
    <row r="128" spans="2:49" x14ac:dyDescent="0.35">
      <c r="B128" s="234"/>
      <c r="C128" s="250" t="s">
        <v>76</v>
      </c>
      <c r="D128" s="88" t="s">
        <v>313</v>
      </c>
      <c r="E128" s="89">
        <v>110453</v>
      </c>
      <c r="F128" s="89">
        <v>39439</v>
      </c>
      <c r="G128" s="89">
        <v>48570</v>
      </c>
      <c r="H128" s="89">
        <v>172199</v>
      </c>
      <c r="I128" s="89">
        <v>25060</v>
      </c>
      <c r="J128" s="89">
        <v>43504</v>
      </c>
      <c r="K128" s="89">
        <v>43853</v>
      </c>
      <c r="L128" s="89">
        <v>331205</v>
      </c>
      <c r="M128" s="89">
        <v>159075</v>
      </c>
      <c r="N128" s="89">
        <v>266183</v>
      </c>
      <c r="O128" s="89">
        <v>190745</v>
      </c>
      <c r="P128" s="89">
        <v>202293</v>
      </c>
      <c r="Q128" s="89">
        <v>286585</v>
      </c>
      <c r="R128" s="89">
        <v>392281</v>
      </c>
      <c r="S128" s="89">
        <v>194066</v>
      </c>
      <c r="T128" s="89">
        <v>25322</v>
      </c>
      <c r="U128" s="89">
        <v>144578</v>
      </c>
      <c r="V128" s="89">
        <v>217696</v>
      </c>
      <c r="W128" s="89">
        <v>35409</v>
      </c>
      <c r="X128" s="89">
        <v>118647</v>
      </c>
      <c r="Y128" s="89">
        <v>10317</v>
      </c>
      <c r="Z128" s="89">
        <v>27001</v>
      </c>
      <c r="AA128" s="89">
        <v>466897</v>
      </c>
      <c r="AB128" s="89">
        <v>78621</v>
      </c>
      <c r="AC128" s="89">
        <v>40175</v>
      </c>
      <c r="AD128" s="89">
        <v>982902</v>
      </c>
      <c r="AE128" s="89">
        <v>1015607</v>
      </c>
      <c r="AF128" s="89">
        <v>44940</v>
      </c>
      <c r="AG128" s="89">
        <v>444305</v>
      </c>
      <c r="AH128" s="89">
        <v>165520</v>
      </c>
      <c r="AI128" s="89">
        <v>80675</v>
      </c>
      <c r="AJ128" s="89">
        <v>39248</v>
      </c>
      <c r="AK128" s="89">
        <v>49393</v>
      </c>
      <c r="AL128" s="89">
        <v>43907</v>
      </c>
      <c r="AM128" s="89">
        <v>1407756</v>
      </c>
      <c r="AN128" s="89">
        <v>465406</v>
      </c>
      <c r="AO128" s="89">
        <v>16261</v>
      </c>
      <c r="AP128" s="89">
        <v>32956</v>
      </c>
      <c r="AQ128" s="89">
        <v>145659</v>
      </c>
      <c r="AR128" s="89">
        <v>20350</v>
      </c>
      <c r="AS128" s="89">
        <v>68462</v>
      </c>
      <c r="AT128" s="89">
        <v>8693521</v>
      </c>
      <c r="AU128" s="88" t="s">
        <v>312</v>
      </c>
      <c r="AV128" s="252" t="s">
        <v>92</v>
      </c>
      <c r="AW128" s="263"/>
    </row>
    <row r="129" spans="2:49" x14ac:dyDescent="0.35">
      <c r="B129" s="234"/>
      <c r="C129" s="251"/>
      <c r="D129" s="90" t="s">
        <v>345</v>
      </c>
      <c r="E129" s="91">
        <v>106676184.73999999</v>
      </c>
      <c r="F129" s="91">
        <v>32660634.57</v>
      </c>
      <c r="G129" s="91">
        <v>24693119.649999999</v>
      </c>
      <c r="H129" s="91">
        <v>335795243.12</v>
      </c>
      <c r="I129" s="91">
        <v>18472149.52</v>
      </c>
      <c r="J129" s="91">
        <v>61540358.060000002</v>
      </c>
      <c r="K129" s="91">
        <v>40339191.509999998</v>
      </c>
      <c r="L129" s="91">
        <v>442539777.88</v>
      </c>
      <c r="M129" s="91">
        <v>260924736.33000001</v>
      </c>
      <c r="N129" s="91">
        <v>323635998.37</v>
      </c>
      <c r="O129" s="91">
        <v>170601019.69</v>
      </c>
      <c r="P129" s="91">
        <v>375052530.75999999</v>
      </c>
      <c r="Q129" s="91">
        <v>437705549.37</v>
      </c>
      <c r="R129" s="91">
        <v>448189428.25999999</v>
      </c>
      <c r="S129" s="91">
        <v>287793268.43000001</v>
      </c>
      <c r="T129" s="91">
        <v>41590787.530000001</v>
      </c>
      <c r="U129" s="91">
        <v>141528741.28</v>
      </c>
      <c r="V129" s="91">
        <v>166842530.38</v>
      </c>
      <c r="W129" s="91">
        <v>35554541.200000003</v>
      </c>
      <c r="X129" s="91">
        <v>191882638.41999999</v>
      </c>
      <c r="Y129" s="91">
        <v>18618025.620000001</v>
      </c>
      <c r="Z129" s="91">
        <v>52621824.719999999</v>
      </c>
      <c r="AA129" s="91">
        <v>832662929.5</v>
      </c>
      <c r="AB129" s="91">
        <v>152578759.19999999</v>
      </c>
      <c r="AC129" s="91">
        <v>38477413</v>
      </c>
      <c r="AD129" s="91">
        <v>2185178818.3600001</v>
      </c>
      <c r="AE129" s="91">
        <v>1256269392.8099999</v>
      </c>
      <c r="AF129" s="91">
        <v>64307765.270000003</v>
      </c>
      <c r="AG129" s="91">
        <v>647491315.58000004</v>
      </c>
      <c r="AH129" s="91">
        <v>124574417.81</v>
      </c>
      <c r="AI129" s="91">
        <v>151947342.87</v>
      </c>
      <c r="AJ129" s="91">
        <v>22644757.530000001</v>
      </c>
      <c r="AK129" s="91">
        <v>91454359.700000003</v>
      </c>
      <c r="AL129" s="91">
        <v>75575456.159999996</v>
      </c>
      <c r="AM129" s="91">
        <v>4676223903.6599998</v>
      </c>
      <c r="AN129" s="91">
        <v>495795866.19999999</v>
      </c>
      <c r="AO129" s="91">
        <v>12645664.890000001</v>
      </c>
      <c r="AP129" s="91">
        <v>14477390.130000001</v>
      </c>
      <c r="AQ129" s="91">
        <v>400981076.13999999</v>
      </c>
      <c r="AR129" s="91">
        <v>60216647.18</v>
      </c>
      <c r="AS129" s="91">
        <v>100998820.54000001</v>
      </c>
      <c r="AT129" s="91">
        <v>15419760375.940001</v>
      </c>
      <c r="AU129" s="90" t="s">
        <v>344</v>
      </c>
      <c r="AV129" s="253"/>
      <c r="AW129" s="263"/>
    </row>
    <row r="130" spans="2:49" x14ac:dyDescent="0.35">
      <c r="B130" s="234"/>
      <c r="C130" s="250" t="s">
        <v>77</v>
      </c>
      <c r="D130" s="88" t="s">
        <v>313</v>
      </c>
      <c r="E130" s="89">
        <v>115554</v>
      </c>
      <c r="F130" s="89">
        <v>29258</v>
      </c>
      <c r="G130" s="89">
        <v>40295</v>
      </c>
      <c r="H130" s="89">
        <v>166144</v>
      </c>
      <c r="I130" s="89">
        <v>21783</v>
      </c>
      <c r="J130" s="89">
        <v>40738</v>
      </c>
      <c r="K130" s="89">
        <v>40782</v>
      </c>
      <c r="L130" s="89">
        <v>331443</v>
      </c>
      <c r="M130" s="89">
        <v>142553</v>
      </c>
      <c r="N130" s="89">
        <v>251109</v>
      </c>
      <c r="O130" s="89">
        <v>196809</v>
      </c>
      <c r="P130" s="89">
        <v>178329</v>
      </c>
      <c r="Q130" s="89">
        <v>264987</v>
      </c>
      <c r="R130" s="89">
        <v>374522</v>
      </c>
      <c r="S130" s="89">
        <v>169691</v>
      </c>
      <c r="T130" s="89">
        <v>21171</v>
      </c>
      <c r="U130" s="89">
        <v>126655</v>
      </c>
      <c r="V130" s="89">
        <v>208699</v>
      </c>
      <c r="W130" s="89">
        <v>31068</v>
      </c>
      <c r="X130" s="89">
        <v>106913</v>
      </c>
      <c r="Y130" s="89">
        <v>9353</v>
      </c>
      <c r="Z130" s="89">
        <v>23463</v>
      </c>
      <c r="AA130" s="89">
        <v>425204</v>
      </c>
      <c r="AB130" s="89">
        <v>66876</v>
      </c>
      <c r="AC130" s="89">
        <v>33338</v>
      </c>
      <c r="AD130" s="89">
        <v>854384</v>
      </c>
      <c r="AE130" s="89">
        <v>997881</v>
      </c>
      <c r="AF130" s="89">
        <v>49359</v>
      </c>
      <c r="AG130" s="89">
        <v>524485</v>
      </c>
      <c r="AH130" s="89">
        <v>141677</v>
      </c>
      <c r="AI130" s="89">
        <v>72602</v>
      </c>
      <c r="AJ130" s="89">
        <v>34619</v>
      </c>
      <c r="AK130" s="89">
        <v>47301</v>
      </c>
      <c r="AL130" s="89">
        <v>40893</v>
      </c>
      <c r="AM130" s="89">
        <v>1298371</v>
      </c>
      <c r="AN130" s="89">
        <v>458467</v>
      </c>
      <c r="AO130" s="89">
        <v>14841</v>
      </c>
      <c r="AP130" s="89">
        <v>30947</v>
      </c>
      <c r="AQ130" s="89">
        <v>132563</v>
      </c>
      <c r="AR130" s="89">
        <v>17121</v>
      </c>
      <c r="AS130" s="89">
        <v>52667</v>
      </c>
      <c r="AT130" s="89">
        <v>8184915</v>
      </c>
      <c r="AU130" s="88" t="s">
        <v>312</v>
      </c>
      <c r="AV130" s="252" t="s">
        <v>93</v>
      </c>
      <c r="AW130" s="263"/>
    </row>
    <row r="131" spans="2:49" x14ac:dyDescent="0.35">
      <c r="B131" s="234"/>
      <c r="C131" s="251"/>
      <c r="D131" s="90" t="s">
        <v>345</v>
      </c>
      <c r="E131" s="91">
        <v>86953833.069999993</v>
      </c>
      <c r="F131" s="91">
        <v>9235084.2699999996</v>
      </c>
      <c r="G131" s="91">
        <v>16404465.720000001</v>
      </c>
      <c r="H131" s="91">
        <v>156804009.19</v>
      </c>
      <c r="I131" s="91">
        <v>20648291.690000001</v>
      </c>
      <c r="J131" s="91">
        <v>21559456.670000002</v>
      </c>
      <c r="K131" s="91">
        <v>26779388.460000001</v>
      </c>
      <c r="L131" s="91">
        <v>299153205.29000002</v>
      </c>
      <c r="M131" s="91">
        <v>111875180.38</v>
      </c>
      <c r="N131" s="91">
        <v>128074313.34999999</v>
      </c>
      <c r="O131" s="91">
        <v>119072602.92</v>
      </c>
      <c r="P131" s="91">
        <v>192735370.52000001</v>
      </c>
      <c r="Q131" s="91">
        <v>320831208.49000001</v>
      </c>
      <c r="R131" s="91">
        <v>460592440.82999998</v>
      </c>
      <c r="S131" s="91">
        <v>194697954.34999999</v>
      </c>
      <c r="T131" s="91">
        <v>51629004.5</v>
      </c>
      <c r="U131" s="91">
        <v>103670344.09</v>
      </c>
      <c r="V131" s="91">
        <v>108666436.95999999</v>
      </c>
      <c r="W131" s="91">
        <v>20492844.41</v>
      </c>
      <c r="X131" s="91">
        <v>146799577.38</v>
      </c>
      <c r="Y131" s="91">
        <v>9901588.9900000002</v>
      </c>
      <c r="Z131" s="91">
        <v>41238653.189999998</v>
      </c>
      <c r="AA131" s="91">
        <v>541057006.15999997</v>
      </c>
      <c r="AB131" s="91">
        <v>120690985.58</v>
      </c>
      <c r="AC131" s="91">
        <v>44761584.560000002</v>
      </c>
      <c r="AD131" s="91">
        <v>1339603157.3699999</v>
      </c>
      <c r="AE131" s="91">
        <v>767917616.04999995</v>
      </c>
      <c r="AF131" s="91">
        <v>31307639.609999999</v>
      </c>
      <c r="AG131" s="91">
        <v>658232036.15999997</v>
      </c>
      <c r="AH131" s="91">
        <v>105792745.88</v>
      </c>
      <c r="AI131" s="91">
        <v>166878517.72999999</v>
      </c>
      <c r="AJ131" s="91">
        <v>14325691.52</v>
      </c>
      <c r="AK131" s="91">
        <v>61841127.18</v>
      </c>
      <c r="AL131" s="91">
        <v>32538051.420000002</v>
      </c>
      <c r="AM131" s="91">
        <v>3049814976.79</v>
      </c>
      <c r="AN131" s="91">
        <v>357559403.42000002</v>
      </c>
      <c r="AO131" s="91">
        <v>15952124.640000001</v>
      </c>
      <c r="AP131" s="91">
        <v>15691297.140000001</v>
      </c>
      <c r="AQ131" s="91">
        <v>247911589.97</v>
      </c>
      <c r="AR131" s="91">
        <v>20881940.359999999</v>
      </c>
      <c r="AS131" s="91">
        <v>25371889.149999999</v>
      </c>
      <c r="AT131" s="91">
        <v>10265944635.41</v>
      </c>
      <c r="AU131" s="90" t="s">
        <v>344</v>
      </c>
      <c r="AV131" s="253"/>
      <c r="AW131" s="263"/>
    </row>
    <row r="132" spans="2:49" x14ac:dyDescent="0.35">
      <c r="B132" s="234"/>
      <c r="C132" s="250" t="s">
        <v>78</v>
      </c>
      <c r="D132" s="88" t="s">
        <v>313</v>
      </c>
      <c r="E132" s="89">
        <v>30239</v>
      </c>
      <c r="F132" s="89">
        <v>9808</v>
      </c>
      <c r="G132" s="89">
        <v>21054</v>
      </c>
      <c r="H132" s="89">
        <v>142378</v>
      </c>
      <c r="I132" s="89">
        <v>18013</v>
      </c>
      <c r="J132" s="89">
        <v>31403</v>
      </c>
      <c r="K132" s="89">
        <v>36421</v>
      </c>
      <c r="L132" s="89">
        <v>138269</v>
      </c>
      <c r="M132" s="89">
        <v>79619</v>
      </c>
      <c r="N132" s="89">
        <v>176134</v>
      </c>
      <c r="O132" s="89">
        <v>192860</v>
      </c>
      <c r="P132" s="89">
        <v>153722</v>
      </c>
      <c r="Q132" s="89">
        <v>249554</v>
      </c>
      <c r="R132" s="89">
        <v>354223</v>
      </c>
      <c r="S132" s="89">
        <v>136093</v>
      </c>
      <c r="T132" s="89">
        <v>19305</v>
      </c>
      <c r="U132" s="89">
        <v>98258</v>
      </c>
      <c r="V132" s="89">
        <v>159392</v>
      </c>
      <c r="W132" s="89">
        <v>26822</v>
      </c>
      <c r="X132" s="89">
        <v>81296</v>
      </c>
      <c r="Y132" s="89">
        <v>8062</v>
      </c>
      <c r="Z132" s="89">
        <v>22305</v>
      </c>
      <c r="AA132" s="89">
        <v>348070</v>
      </c>
      <c r="AB132" s="89">
        <v>54121</v>
      </c>
      <c r="AC132" s="89">
        <v>28060</v>
      </c>
      <c r="AD132" s="89">
        <v>751327</v>
      </c>
      <c r="AE132" s="89">
        <v>748014</v>
      </c>
      <c r="AF132" s="89">
        <v>41380</v>
      </c>
      <c r="AG132" s="89">
        <v>219149</v>
      </c>
      <c r="AH132" s="89">
        <v>128183</v>
      </c>
      <c r="AI132" s="89">
        <v>64064</v>
      </c>
      <c r="AJ132" s="89">
        <v>31984</v>
      </c>
      <c r="AK132" s="89">
        <v>46491</v>
      </c>
      <c r="AL132" s="89">
        <v>36633</v>
      </c>
      <c r="AM132" s="89">
        <v>1185375</v>
      </c>
      <c r="AN132" s="89">
        <v>453607</v>
      </c>
      <c r="AO132" s="89">
        <v>13179</v>
      </c>
      <c r="AP132" s="89">
        <v>29898</v>
      </c>
      <c r="AQ132" s="89">
        <v>105036</v>
      </c>
      <c r="AR132" s="89">
        <v>14234</v>
      </c>
      <c r="AS132" s="89">
        <v>28901</v>
      </c>
      <c r="AT132" s="89">
        <v>6512936</v>
      </c>
      <c r="AU132" s="88" t="s">
        <v>312</v>
      </c>
      <c r="AV132" s="252" t="s">
        <v>94</v>
      </c>
      <c r="AW132" s="263"/>
    </row>
    <row r="133" spans="2:49" x14ac:dyDescent="0.35">
      <c r="B133" s="234"/>
      <c r="C133" s="251"/>
      <c r="D133" s="90" t="s">
        <v>345</v>
      </c>
      <c r="E133" s="91">
        <v>25579138.859999999</v>
      </c>
      <c r="F133" s="91">
        <v>7687317.04</v>
      </c>
      <c r="G133" s="91">
        <v>15973062.67</v>
      </c>
      <c r="H133" s="91">
        <v>91178842.849999994</v>
      </c>
      <c r="I133" s="91">
        <v>9373885.3100000005</v>
      </c>
      <c r="J133" s="91">
        <v>20445894.579999998</v>
      </c>
      <c r="K133" s="91">
        <v>12947094.67</v>
      </c>
      <c r="L133" s="91">
        <v>169594352.50999999</v>
      </c>
      <c r="M133" s="91">
        <v>71949446.939999998</v>
      </c>
      <c r="N133" s="91">
        <v>67891281.340000004</v>
      </c>
      <c r="O133" s="91">
        <v>109664247.42</v>
      </c>
      <c r="P133" s="91">
        <v>153875435.66</v>
      </c>
      <c r="Q133" s="91">
        <v>391696210.81999999</v>
      </c>
      <c r="R133" s="91">
        <v>371005985.75999999</v>
      </c>
      <c r="S133" s="91">
        <v>116150983.66</v>
      </c>
      <c r="T133" s="91">
        <v>12451020.890000001</v>
      </c>
      <c r="U133" s="91">
        <v>83872558.030000001</v>
      </c>
      <c r="V133" s="91">
        <v>127881967.86</v>
      </c>
      <c r="W133" s="91">
        <v>25760868.719999999</v>
      </c>
      <c r="X133" s="91">
        <v>96743611.930000007</v>
      </c>
      <c r="Y133" s="91">
        <v>4496532.66</v>
      </c>
      <c r="Z133" s="91">
        <v>37256754.130000003</v>
      </c>
      <c r="AA133" s="91">
        <v>438806294.77999997</v>
      </c>
      <c r="AB133" s="91">
        <v>49430728.880000003</v>
      </c>
      <c r="AC133" s="91">
        <v>31029002.379999999</v>
      </c>
      <c r="AD133" s="91">
        <v>1106111701.6300001</v>
      </c>
      <c r="AE133" s="91">
        <v>840851608.14999998</v>
      </c>
      <c r="AF133" s="91">
        <v>23520786.93</v>
      </c>
      <c r="AG133" s="91">
        <v>170439186.24000001</v>
      </c>
      <c r="AH133" s="91">
        <v>75581314.629999995</v>
      </c>
      <c r="AI133" s="91">
        <v>112534662.31999999</v>
      </c>
      <c r="AJ133" s="91">
        <v>63678650.840000004</v>
      </c>
      <c r="AK133" s="91">
        <v>70783436.040000007</v>
      </c>
      <c r="AL133" s="91">
        <v>61155934.329999998</v>
      </c>
      <c r="AM133" s="91">
        <v>2441055056.5300002</v>
      </c>
      <c r="AN133" s="91">
        <v>426900393.48000002</v>
      </c>
      <c r="AO133" s="91">
        <v>8647225.5999999996</v>
      </c>
      <c r="AP133" s="91">
        <v>12696711.99</v>
      </c>
      <c r="AQ133" s="91">
        <v>237418568.31</v>
      </c>
      <c r="AR133" s="91">
        <v>18608612.739999998</v>
      </c>
      <c r="AS133" s="91">
        <v>11562616.390000001</v>
      </c>
      <c r="AT133" s="91">
        <v>8224288986.5</v>
      </c>
      <c r="AU133" s="90" t="s">
        <v>344</v>
      </c>
      <c r="AV133" s="253"/>
      <c r="AW133" s="263"/>
    </row>
    <row r="134" spans="2:49" x14ac:dyDescent="0.35">
      <c r="B134" s="234"/>
      <c r="C134" s="250" t="s">
        <v>79</v>
      </c>
      <c r="D134" s="88" t="s">
        <v>313</v>
      </c>
      <c r="E134" s="89">
        <v>29372</v>
      </c>
      <c r="F134" s="89">
        <v>9701</v>
      </c>
      <c r="G134" s="89">
        <v>23248</v>
      </c>
      <c r="H134" s="89">
        <v>158283</v>
      </c>
      <c r="I134" s="89">
        <v>20480</v>
      </c>
      <c r="J134" s="89">
        <v>36540</v>
      </c>
      <c r="K134" s="89">
        <v>40841</v>
      </c>
      <c r="L134" s="89">
        <v>131721</v>
      </c>
      <c r="M134" s="89">
        <v>83187</v>
      </c>
      <c r="N134" s="89">
        <v>203579</v>
      </c>
      <c r="O134" s="89">
        <v>202015</v>
      </c>
      <c r="P134" s="89">
        <v>213023</v>
      </c>
      <c r="Q134" s="89">
        <v>308035</v>
      </c>
      <c r="R134" s="89">
        <v>399082</v>
      </c>
      <c r="S134" s="89">
        <v>154424</v>
      </c>
      <c r="T134" s="89">
        <v>19113</v>
      </c>
      <c r="U134" s="89">
        <v>125903</v>
      </c>
      <c r="V134" s="89">
        <v>196343</v>
      </c>
      <c r="W134" s="89">
        <v>30476</v>
      </c>
      <c r="X134" s="89">
        <v>89094</v>
      </c>
      <c r="Y134" s="89">
        <v>8982</v>
      </c>
      <c r="Z134" s="89">
        <v>28972</v>
      </c>
      <c r="AA134" s="89">
        <v>392204</v>
      </c>
      <c r="AB134" s="89">
        <v>70578</v>
      </c>
      <c r="AC134" s="89">
        <v>32975</v>
      </c>
      <c r="AD134" s="89">
        <v>824501</v>
      </c>
      <c r="AE134" s="89">
        <v>860742</v>
      </c>
      <c r="AF134" s="89">
        <v>45052</v>
      </c>
      <c r="AG134" s="89">
        <v>215287</v>
      </c>
      <c r="AH134" s="89">
        <v>149070</v>
      </c>
      <c r="AI134" s="89">
        <v>66921</v>
      </c>
      <c r="AJ134" s="89">
        <v>36004</v>
      </c>
      <c r="AK134" s="89">
        <v>49320</v>
      </c>
      <c r="AL134" s="89">
        <v>38929</v>
      </c>
      <c r="AM134" s="89">
        <v>1346656</v>
      </c>
      <c r="AN134" s="89">
        <v>517927</v>
      </c>
      <c r="AO134" s="89">
        <v>14772</v>
      </c>
      <c r="AP134" s="89">
        <v>30701</v>
      </c>
      <c r="AQ134" s="89">
        <v>108871</v>
      </c>
      <c r="AR134" s="89">
        <v>15921</v>
      </c>
      <c r="AS134" s="89">
        <v>32520</v>
      </c>
      <c r="AT134" s="89">
        <v>7361365</v>
      </c>
      <c r="AU134" s="88" t="s">
        <v>312</v>
      </c>
      <c r="AV134" s="252" t="s">
        <v>95</v>
      </c>
      <c r="AW134" s="263"/>
    </row>
    <row r="135" spans="2:49" x14ac:dyDescent="0.35">
      <c r="B135" s="234"/>
      <c r="C135" s="251"/>
      <c r="D135" s="90" t="s">
        <v>345</v>
      </c>
      <c r="E135" s="91">
        <v>46428022.719999999</v>
      </c>
      <c r="F135" s="91">
        <v>5273100.29</v>
      </c>
      <c r="G135" s="91">
        <v>14077210.039999999</v>
      </c>
      <c r="H135" s="91">
        <v>185812828.91</v>
      </c>
      <c r="I135" s="91">
        <v>15140873.220000001</v>
      </c>
      <c r="J135" s="91">
        <v>23792809.719999999</v>
      </c>
      <c r="K135" s="91">
        <v>34977607.090000004</v>
      </c>
      <c r="L135" s="91">
        <v>100847355.94</v>
      </c>
      <c r="M135" s="91">
        <v>74317488.519999996</v>
      </c>
      <c r="N135" s="91">
        <v>114434389.81999999</v>
      </c>
      <c r="O135" s="91">
        <v>76297682.189999998</v>
      </c>
      <c r="P135" s="91">
        <v>185403050.31999999</v>
      </c>
      <c r="Q135" s="91">
        <v>363090508.12</v>
      </c>
      <c r="R135" s="91">
        <v>393604302.23000002</v>
      </c>
      <c r="S135" s="91">
        <v>169174409.08000001</v>
      </c>
      <c r="T135" s="91">
        <v>14684899.359999999</v>
      </c>
      <c r="U135" s="91">
        <v>83431985.890000001</v>
      </c>
      <c r="V135" s="91">
        <v>157393040.59999999</v>
      </c>
      <c r="W135" s="91">
        <v>53856442.740000002</v>
      </c>
      <c r="X135" s="91">
        <v>123241931.12</v>
      </c>
      <c r="Y135" s="91">
        <v>36400105.170000002</v>
      </c>
      <c r="Z135" s="91">
        <v>60256103.920000002</v>
      </c>
      <c r="AA135" s="91">
        <v>468702262.25999999</v>
      </c>
      <c r="AB135" s="91">
        <v>87478977.359999999</v>
      </c>
      <c r="AC135" s="91">
        <v>44892548.130000003</v>
      </c>
      <c r="AD135" s="91">
        <v>1302396444.1400001</v>
      </c>
      <c r="AE135" s="91">
        <v>604617578.88</v>
      </c>
      <c r="AF135" s="91">
        <v>40762744.25</v>
      </c>
      <c r="AG135" s="91">
        <v>199218404.18000001</v>
      </c>
      <c r="AH135" s="91">
        <v>69532397.939999998</v>
      </c>
      <c r="AI135" s="91">
        <v>97632994.730000004</v>
      </c>
      <c r="AJ135" s="91">
        <v>33437442.149999999</v>
      </c>
      <c r="AK135" s="91">
        <v>106677114.87</v>
      </c>
      <c r="AL135" s="91">
        <v>60018696.700000003</v>
      </c>
      <c r="AM135" s="91">
        <v>2699898083.9899998</v>
      </c>
      <c r="AN135" s="91">
        <v>260649629.24000001</v>
      </c>
      <c r="AO135" s="91">
        <v>9946783.3800000008</v>
      </c>
      <c r="AP135" s="91">
        <v>17641125.780000001</v>
      </c>
      <c r="AQ135" s="91">
        <v>197063376.11000001</v>
      </c>
      <c r="AR135" s="91">
        <v>16759249.060000001</v>
      </c>
      <c r="AS135" s="91">
        <v>18655127.510000002</v>
      </c>
      <c r="AT135" s="91">
        <v>8667917127.6700001</v>
      </c>
      <c r="AU135" s="90" t="s">
        <v>344</v>
      </c>
      <c r="AV135" s="253"/>
      <c r="AW135" s="263"/>
    </row>
    <row r="136" spans="2:49" x14ac:dyDescent="0.35">
      <c r="B136" s="234"/>
      <c r="C136" s="250" t="s">
        <v>80</v>
      </c>
      <c r="D136" s="88" t="s">
        <v>313</v>
      </c>
      <c r="E136" s="89">
        <v>29537</v>
      </c>
      <c r="F136" s="89">
        <v>13500</v>
      </c>
      <c r="G136" s="89">
        <v>35062</v>
      </c>
      <c r="H136" s="89">
        <v>197250</v>
      </c>
      <c r="I136" s="89">
        <v>28283</v>
      </c>
      <c r="J136" s="89">
        <v>46346</v>
      </c>
      <c r="K136" s="89">
        <v>52092</v>
      </c>
      <c r="L136" s="89">
        <v>130204</v>
      </c>
      <c r="M136" s="89">
        <v>83096</v>
      </c>
      <c r="N136" s="89">
        <v>243668</v>
      </c>
      <c r="O136" s="89">
        <v>222349</v>
      </c>
      <c r="P136" s="89">
        <v>252180</v>
      </c>
      <c r="Q136" s="89">
        <v>338923</v>
      </c>
      <c r="R136" s="89">
        <v>480417</v>
      </c>
      <c r="S136" s="89">
        <v>215661</v>
      </c>
      <c r="T136" s="89">
        <v>24482</v>
      </c>
      <c r="U136" s="89">
        <v>188389</v>
      </c>
      <c r="V136" s="89">
        <v>284257</v>
      </c>
      <c r="W136" s="89">
        <v>33398</v>
      </c>
      <c r="X136" s="89">
        <v>100604</v>
      </c>
      <c r="Y136" s="89">
        <v>11839</v>
      </c>
      <c r="Z136" s="89">
        <v>38944</v>
      </c>
      <c r="AA136" s="89">
        <v>469355</v>
      </c>
      <c r="AB136" s="89">
        <v>83136</v>
      </c>
      <c r="AC136" s="89">
        <v>44514</v>
      </c>
      <c r="AD136" s="89">
        <v>998500</v>
      </c>
      <c r="AE136" s="89">
        <v>977703</v>
      </c>
      <c r="AF136" s="89">
        <v>54255</v>
      </c>
      <c r="AG136" s="89">
        <v>233542</v>
      </c>
      <c r="AH136" s="89">
        <v>193304</v>
      </c>
      <c r="AI136" s="89">
        <v>69387</v>
      </c>
      <c r="AJ136" s="89">
        <v>37242</v>
      </c>
      <c r="AK136" s="89">
        <v>56044</v>
      </c>
      <c r="AL136" s="89">
        <v>43973</v>
      </c>
      <c r="AM136" s="89">
        <v>1515110</v>
      </c>
      <c r="AN136" s="89">
        <v>589692</v>
      </c>
      <c r="AO136" s="89">
        <v>15927</v>
      </c>
      <c r="AP136" s="89">
        <v>34120</v>
      </c>
      <c r="AQ136" s="89">
        <v>117305</v>
      </c>
      <c r="AR136" s="89">
        <v>19701</v>
      </c>
      <c r="AS136" s="89">
        <v>32504</v>
      </c>
      <c r="AT136" s="89">
        <v>8635795</v>
      </c>
      <c r="AU136" s="88" t="s">
        <v>312</v>
      </c>
      <c r="AV136" s="252" t="s">
        <v>96</v>
      </c>
      <c r="AW136" s="263"/>
    </row>
    <row r="137" spans="2:49" x14ac:dyDescent="0.35">
      <c r="B137" s="234"/>
      <c r="C137" s="251"/>
      <c r="D137" s="90" t="s">
        <v>345</v>
      </c>
      <c r="E137" s="91">
        <v>18865426.109999999</v>
      </c>
      <c r="F137" s="91">
        <v>9603157.6999999993</v>
      </c>
      <c r="G137" s="91">
        <v>15003587.42</v>
      </c>
      <c r="H137" s="91">
        <v>281954094.27999997</v>
      </c>
      <c r="I137" s="91">
        <v>13836144.039999999</v>
      </c>
      <c r="J137" s="91">
        <v>34146172.710000001</v>
      </c>
      <c r="K137" s="91">
        <v>32975608.359999999</v>
      </c>
      <c r="L137" s="91">
        <v>112456235.43000001</v>
      </c>
      <c r="M137" s="91">
        <v>77633339.170000002</v>
      </c>
      <c r="N137" s="91">
        <v>137787438.91999999</v>
      </c>
      <c r="O137" s="91">
        <v>118245577.64</v>
      </c>
      <c r="P137" s="91">
        <v>266640718.13</v>
      </c>
      <c r="Q137" s="91">
        <v>329854196.93000001</v>
      </c>
      <c r="R137" s="91">
        <v>363736716.56999999</v>
      </c>
      <c r="S137" s="91">
        <v>217212048.55000001</v>
      </c>
      <c r="T137" s="91">
        <v>23044368.899999999</v>
      </c>
      <c r="U137" s="91">
        <v>104763993</v>
      </c>
      <c r="V137" s="91">
        <v>210961373.94</v>
      </c>
      <c r="W137" s="91">
        <v>73829995.519999996</v>
      </c>
      <c r="X137" s="91">
        <v>150844861.69999999</v>
      </c>
      <c r="Y137" s="91">
        <v>28086953.030000001</v>
      </c>
      <c r="Z137" s="91">
        <v>87311193.489999995</v>
      </c>
      <c r="AA137" s="91">
        <v>534423177.49000001</v>
      </c>
      <c r="AB137" s="91">
        <v>105278909.75</v>
      </c>
      <c r="AC137" s="91">
        <v>51935586.939999998</v>
      </c>
      <c r="AD137" s="91">
        <v>1244492476.21</v>
      </c>
      <c r="AE137" s="91">
        <v>707548295.77999997</v>
      </c>
      <c r="AF137" s="91">
        <v>30888496.559999999</v>
      </c>
      <c r="AG137" s="91">
        <v>155162114.18000001</v>
      </c>
      <c r="AH137" s="91">
        <v>105686315.18000001</v>
      </c>
      <c r="AI137" s="91">
        <v>83095083.280000001</v>
      </c>
      <c r="AJ137" s="91">
        <v>32752818.52</v>
      </c>
      <c r="AK137" s="91">
        <v>85154504.75</v>
      </c>
      <c r="AL137" s="91">
        <v>25857424.52</v>
      </c>
      <c r="AM137" s="91">
        <v>2906984990.8800001</v>
      </c>
      <c r="AN137" s="91">
        <v>329901955.79000002</v>
      </c>
      <c r="AO137" s="91">
        <v>6428934.8600000003</v>
      </c>
      <c r="AP137" s="91">
        <v>31067110.719999999</v>
      </c>
      <c r="AQ137" s="91">
        <v>227330913.58000001</v>
      </c>
      <c r="AR137" s="91">
        <v>37757717.979999997</v>
      </c>
      <c r="AS137" s="91">
        <v>12751686.529999999</v>
      </c>
      <c r="AT137" s="91">
        <v>9423291715.0400009</v>
      </c>
      <c r="AU137" s="90" t="s">
        <v>344</v>
      </c>
      <c r="AV137" s="253"/>
      <c r="AW137" s="263"/>
    </row>
    <row r="138" spans="2:49" x14ac:dyDescent="0.35">
      <c r="B138" s="234"/>
      <c r="C138" s="250" t="s">
        <v>81</v>
      </c>
      <c r="D138" s="88" t="s">
        <v>313</v>
      </c>
      <c r="E138" s="89">
        <v>21409</v>
      </c>
      <c r="F138" s="89">
        <v>7426</v>
      </c>
      <c r="G138" s="89">
        <v>21534</v>
      </c>
      <c r="H138" s="89">
        <v>155875</v>
      </c>
      <c r="I138" s="89">
        <v>19225</v>
      </c>
      <c r="J138" s="89">
        <v>36044</v>
      </c>
      <c r="K138" s="89">
        <v>37723</v>
      </c>
      <c r="L138" s="89">
        <v>111569</v>
      </c>
      <c r="M138" s="89">
        <v>73382</v>
      </c>
      <c r="N138" s="89">
        <v>211490</v>
      </c>
      <c r="O138" s="89">
        <v>199684</v>
      </c>
      <c r="P138" s="89">
        <v>191558</v>
      </c>
      <c r="Q138" s="89">
        <v>323009</v>
      </c>
      <c r="R138" s="89">
        <v>407202</v>
      </c>
      <c r="S138" s="89">
        <v>165197</v>
      </c>
      <c r="T138" s="89">
        <v>20209</v>
      </c>
      <c r="U138" s="89">
        <v>171554</v>
      </c>
      <c r="V138" s="89">
        <v>260823</v>
      </c>
      <c r="W138" s="89">
        <v>27801</v>
      </c>
      <c r="X138" s="89">
        <v>85929</v>
      </c>
      <c r="Y138" s="89">
        <v>10401</v>
      </c>
      <c r="Z138" s="89">
        <v>40430</v>
      </c>
      <c r="AA138" s="89">
        <v>384888</v>
      </c>
      <c r="AB138" s="89">
        <v>64459</v>
      </c>
      <c r="AC138" s="89">
        <v>33151</v>
      </c>
      <c r="AD138" s="89">
        <v>844754</v>
      </c>
      <c r="AE138" s="89">
        <v>846112</v>
      </c>
      <c r="AF138" s="89">
        <v>47439</v>
      </c>
      <c r="AG138" s="89">
        <v>169293</v>
      </c>
      <c r="AH138" s="89">
        <v>171309</v>
      </c>
      <c r="AI138" s="89">
        <v>65897</v>
      </c>
      <c r="AJ138" s="89">
        <v>33820</v>
      </c>
      <c r="AK138" s="89">
        <v>48218</v>
      </c>
      <c r="AL138" s="89">
        <v>35231</v>
      </c>
      <c r="AM138" s="89">
        <v>1324216</v>
      </c>
      <c r="AN138" s="89">
        <v>538492</v>
      </c>
      <c r="AO138" s="89">
        <v>13268</v>
      </c>
      <c r="AP138" s="89">
        <v>31694</v>
      </c>
      <c r="AQ138" s="89">
        <v>101875</v>
      </c>
      <c r="AR138" s="89">
        <v>16726</v>
      </c>
      <c r="AS138" s="89">
        <v>23910</v>
      </c>
      <c r="AT138" s="89">
        <v>7394226</v>
      </c>
      <c r="AU138" s="88" t="s">
        <v>312</v>
      </c>
      <c r="AV138" s="252" t="s">
        <v>97</v>
      </c>
      <c r="AW138" s="263"/>
    </row>
    <row r="139" spans="2:49" x14ac:dyDescent="0.35">
      <c r="B139" s="235"/>
      <c r="C139" s="251"/>
      <c r="D139" s="90" t="s">
        <v>345</v>
      </c>
      <c r="E139" s="91">
        <v>20916708.870000001</v>
      </c>
      <c r="F139" s="91">
        <v>6370644.1900000004</v>
      </c>
      <c r="G139" s="91">
        <v>16291861.93</v>
      </c>
      <c r="H139" s="91">
        <v>124933297.72</v>
      </c>
      <c r="I139" s="91">
        <v>11987262.140000001</v>
      </c>
      <c r="J139" s="91">
        <v>25938751.52</v>
      </c>
      <c r="K139" s="91">
        <v>24681256.23</v>
      </c>
      <c r="L139" s="91">
        <v>105983684.63</v>
      </c>
      <c r="M139" s="91">
        <v>93963005.819999993</v>
      </c>
      <c r="N139" s="91">
        <v>117143330.65000001</v>
      </c>
      <c r="O139" s="91">
        <v>88089679.030000001</v>
      </c>
      <c r="P139" s="91">
        <v>206041505.40000001</v>
      </c>
      <c r="Q139" s="91">
        <v>382934893.24000001</v>
      </c>
      <c r="R139" s="91">
        <v>433793787.83999997</v>
      </c>
      <c r="S139" s="91">
        <v>231733572.84</v>
      </c>
      <c r="T139" s="91">
        <v>24225057.710000001</v>
      </c>
      <c r="U139" s="91">
        <v>114861495.14</v>
      </c>
      <c r="V139" s="91">
        <v>200536232.19</v>
      </c>
      <c r="W139" s="91">
        <v>36256860.079999998</v>
      </c>
      <c r="X139" s="91">
        <v>159138657.52000001</v>
      </c>
      <c r="Y139" s="91">
        <v>6511082.0499999998</v>
      </c>
      <c r="Z139" s="91">
        <v>106364724.2</v>
      </c>
      <c r="AA139" s="91">
        <v>404058226.08999997</v>
      </c>
      <c r="AB139" s="91">
        <v>76188107.150000006</v>
      </c>
      <c r="AC139" s="91">
        <v>46884168.100000001</v>
      </c>
      <c r="AD139" s="91">
        <v>1085713521.3099999</v>
      </c>
      <c r="AE139" s="91">
        <v>547303006.78999996</v>
      </c>
      <c r="AF139" s="91">
        <v>17550928.829999998</v>
      </c>
      <c r="AG139" s="91">
        <v>119996717.59999999</v>
      </c>
      <c r="AH139" s="91">
        <v>84143970.349999994</v>
      </c>
      <c r="AI139" s="91">
        <v>95837773.420000002</v>
      </c>
      <c r="AJ139" s="91">
        <v>44013157.390000001</v>
      </c>
      <c r="AK139" s="91">
        <v>65307005.229999997</v>
      </c>
      <c r="AL139" s="91">
        <v>28913346.149999999</v>
      </c>
      <c r="AM139" s="91">
        <v>2360860515.5799999</v>
      </c>
      <c r="AN139" s="91">
        <v>283802797.85000002</v>
      </c>
      <c r="AO139" s="91">
        <v>15221912.970000001</v>
      </c>
      <c r="AP139" s="91">
        <v>13729826.93</v>
      </c>
      <c r="AQ139" s="91">
        <v>206026100.38999999</v>
      </c>
      <c r="AR139" s="91">
        <v>24338901.140000001</v>
      </c>
      <c r="AS139" s="91">
        <v>13538973.560000001</v>
      </c>
      <c r="AT139" s="91">
        <v>8072126307.7700005</v>
      </c>
      <c r="AU139" s="90" t="s">
        <v>344</v>
      </c>
      <c r="AV139" s="253"/>
      <c r="AW139" s="264"/>
    </row>
    <row r="140" spans="2:49" x14ac:dyDescent="0.35">
      <c r="B140" s="254" t="s">
        <v>82</v>
      </c>
      <c r="C140" s="255"/>
      <c r="D140" s="92" t="s">
        <v>313</v>
      </c>
      <c r="E140" s="93">
        <v>560114</v>
      </c>
      <c r="F140" s="93">
        <v>196188</v>
      </c>
      <c r="G140" s="93">
        <v>376520</v>
      </c>
      <c r="H140" s="93">
        <v>1978686</v>
      </c>
      <c r="I140" s="93">
        <v>291104</v>
      </c>
      <c r="J140" s="93">
        <v>473710</v>
      </c>
      <c r="K140" s="93">
        <v>538154</v>
      </c>
      <c r="L140" s="93">
        <v>2112542</v>
      </c>
      <c r="M140" s="93">
        <v>1181009</v>
      </c>
      <c r="N140" s="93">
        <v>2613015</v>
      </c>
      <c r="O140" s="93">
        <v>2432329</v>
      </c>
      <c r="P140" s="93">
        <v>2339133</v>
      </c>
      <c r="Q140" s="93">
        <v>3540470</v>
      </c>
      <c r="R140" s="93">
        <v>4653377</v>
      </c>
      <c r="S140" s="93">
        <v>2011063</v>
      </c>
      <c r="T140" s="93">
        <v>258813</v>
      </c>
      <c r="U140" s="93">
        <v>1562547</v>
      </c>
      <c r="V140" s="93">
        <v>2711852</v>
      </c>
      <c r="W140" s="93">
        <v>357559</v>
      </c>
      <c r="X140" s="93">
        <v>1131302</v>
      </c>
      <c r="Y140" s="93">
        <v>113972</v>
      </c>
      <c r="Z140" s="93">
        <v>375598</v>
      </c>
      <c r="AA140" s="93">
        <v>4872236</v>
      </c>
      <c r="AB140" s="93">
        <v>812111</v>
      </c>
      <c r="AC140" s="93">
        <v>441010</v>
      </c>
      <c r="AD140" s="93">
        <v>10418215</v>
      </c>
      <c r="AE140" s="93">
        <v>12592395</v>
      </c>
      <c r="AF140" s="93">
        <v>538999</v>
      </c>
      <c r="AG140" s="93">
        <v>3192570</v>
      </c>
      <c r="AH140" s="93">
        <v>1894077</v>
      </c>
      <c r="AI140" s="93">
        <v>836683</v>
      </c>
      <c r="AJ140" s="93">
        <v>455063</v>
      </c>
      <c r="AK140" s="93">
        <v>610857</v>
      </c>
      <c r="AL140" s="93">
        <v>472861</v>
      </c>
      <c r="AM140" s="93">
        <v>15701791</v>
      </c>
      <c r="AN140" s="93">
        <v>6064507</v>
      </c>
      <c r="AO140" s="93">
        <v>176943</v>
      </c>
      <c r="AP140" s="93">
        <v>379380</v>
      </c>
      <c r="AQ140" s="93">
        <v>1388489</v>
      </c>
      <c r="AR140" s="93">
        <v>207930</v>
      </c>
      <c r="AS140" s="93">
        <v>458339</v>
      </c>
      <c r="AT140" s="93">
        <v>93323513</v>
      </c>
      <c r="AU140" s="92" t="s">
        <v>312</v>
      </c>
      <c r="AV140" s="258" t="s">
        <v>98</v>
      </c>
      <c r="AW140" s="259"/>
    </row>
    <row r="141" spans="2:49" x14ac:dyDescent="0.35">
      <c r="B141" s="256"/>
      <c r="C141" s="257"/>
      <c r="D141" s="94" t="s">
        <v>345</v>
      </c>
      <c r="E141" s="95">
        <v>532317204.06</v>
      </c>
      <c r="F141" s="95">
        <v>151603243.97</v>
      </c>
      <c r="G141" s="95">
        <v>233407016.27000001</v>
      </c>
      <c r="H141" s="95">
        <v>2121938637.0899999</v>
      </c>
      <c r="I141" s="95">
        <v>244141813.55000001</v>
      </c>
      <c r="J141" s="95">
        <v>365204266.54000002</v>
      </c>
      <c r="K141" s="95">
        <v>334865321.20999998</v>
      </c>
      <c r="L141" s="95">
        <v>2219370391.48</v>
      </c>
      <c r="M141" s="95">
        <v>1355756564.9300001</v>
      </c>
      <c r="N141" s="95">
        <v>1707830289.8199999</v>
      </c>
      <c r="O141" s="95">
        <v>1760238666.0699999</v>
      </c>
      <c r="P141" s="95">
        <v>2991576655</v>
      </c>
      <c r="Q141" s="95">
        <v>5040016100.0600004</v>
      </c>
      <c r="R141" s="95">
        <v>4833073332.5100002</v>
      </c>
      <c r="S141" s="95">
        <v>2384409502.4400001</v>
      </c>
      <c r="T141" s="95">
        <v>281058540.51999998</v>
      </c>
      <c r="U141" s="95">
        <v>1398608182.1099999</v>
      </c>
      <c r="V141" s="95">
        <v>1978502614.6600001</v>
      </c>
      <c r="W141" s="95">
        <v>458300044.94</v>
      </c>
      <c r="X141" s="95">
        <v>1454618941.74</v>
      </c>
      <c r="Y141" s="95">
        <v>155982824.49000001</v>
      </c>
      <c r="Z141" s="95">
        <v>854623607.17999995</v>
      </c>
      <c r="AA141" s="95">
        <v>6488141626.8999996</v>
      </c>
      <c r="AB141" s="95">
        <v>1169708285.79</v>
      </c>
      <c r="AC141" s="95">
        <v>502939750.47000003</v>
      </c>
      <c r="AD141" s="95">
        <v>18183358876.509998</v>
      </c>
      <c r="AE141" s="95">
        <v>15604535006.799999</v>
      </c>
      <c r="AF141" s="95">
        <v>370994570.80000001</v>
      </c>
      <c r="AG141" s="95">
        <v>3272422489.71</v>
      </c>
      <c r="AH141" s="95">
        <v>1184144090.27</v>
      </c>
      <c r="AI141" s="95">
        <v>1258288667.51</v>
      </c>
      <c r="AJ141" s="95">
        <v>537091128.11000001</v>
      </c>
      <c r="AK141" s="95">
        <v>1106582350.1300001</v>
      </c>
      <c r="AL141" s="95">
        <v>540072843.00999999</v>
      </c>
      <c r="AM141" s="95">
        <v>35218622669.870003</v>
      </c>
      <c r="AN141" s="95">
        <v>4525522427.3299999</v>
      </c>
      <c r="AO141" s="95">
        <v>163118241.91</v>
      </c>
      <c r="AP141" s="95">
        <v>281741574.88</v>
      </c>
      <c r="AQ141" s="95">
        <v>3141842937.1700001</v>
      </c>
      <c r="AR141" s="95">
        <v>348995308.07999998</v>
      </c>
      <c r="AS141" s="95">
        <v>320974021.61000001</v>
      </c>
      <c r="AT141" s="95">
        <v>127076540627.5</v>
      </c>
      <c r="AU141" s="94" t="s">
        <v>344</v>
      </c>
      <c r="AV141" s="260"/>
      <c r="AW141" s="261"/>
    </row>
  </sheetData>
  <mergeCells count="173">
    <mergeCell ref="C76:C77"/>
    <mergeCell ref="AV76:AV77"/>
    <mergeCell ref="AV22:AV23"/>
    <mergeCell ref="B62:C63"/>
    <mergeCell ref="AV62:AW63"/>
    <mergeCell ref="B38:B61"/>
    <mergeCell ref="C38:C39"/>
    <mergeCell ref="AV38:AV39"/>
    <mergeCell ref="AW38:AW61"/>
    <mergeCell ref="C40:C41"/>
    <mergeCell ref="AV40:AV41"/>
    <mergeCell ref="C42:C43"/>
    <mergeCell ref="AV42:AV43"/>
    <mergeCell ref="C44:C45"/>
    <mergeCell ref="AV44:AV45"/>
    <mergeCell ref="C52:C53"/>
    <mergeCell ref="AV52:AV53"/>
    <mergeCell ref="C54:C55"/>
    <mergeCell ref="C22:C23"/>
    <mergeCell ref="C30:C31"/>
    <mergeCell ref="C32:C33"/>
    <mergeCell ref="C34:C35"/>
    <mergeCell ref="B36:C37"/>
    <mergeCell ref="C70:C71"/>
    <mergeCell ref="C138:C139"/>
    <mergeCell ref="AV138:AV139"/>
    <mergeCell ref="B140:C141"/>
    <mergeCell ref="AV140:AW141"/>
    <mergeCell ref="B116:B139"/>
    <mergeCell ref="C116:C117"/>
    <mergeCell ref="AV116:AV117"/>
    <mergeCell ref="AW116:AW139"/>
    <mergeCell ref="C118:C119"/>
    <mergeCell ref="AV118:AV119"/>
    <mergeCell ref="C120:C121"/>
    <mergeCell ref="AV120:AV121"/>
    <mergeCell ref="C122:C123"/>
    <mergeCell ref="AV122:AV123"/>
    <mergeCell ref="C124:C125"/>
    <mergeCell ref="AV124:AV125"/>
    <mergeCell ref="C126:C127"/>
    <mergeCell ref="AV126:AV127"/>
    <mergeCell ref="C128:C129"/>
    <mergeCell ref="AV128:AV129"/>
    <mergeCell ref="C130:C131"/>
    <mergeCell ref="AV130:AV131"/>
    <mergeCell ref="C132:C133"/>
    <mergeCell ref="AV132:AV133"/>
    <mergeCell ref="C134:C135"/>
    <mergeCell ref="AV134:AV135"/>
    <mergeCell ref="C136:C137"/>
    <mergeCell ref="AV136:AV137"/>
    <mergeCell ref="O9:R9"/>
    <mergeCell ref="O8:R8"/>
    <mergeCell ref="AO9:AS9"/>
    <mergeCell ref="AO8:AS8"/>
    <mergeCell ref="AM8:AN8"/>
    <mergeCell ref="AM9:AN9"/>
    <mergeCell ref="AK9:AL9"/>
    <mergeCell ref="AK8:AL8"/>
    <mergeCell ref="AI9:AJ9"/>
    <mergeCell ref="AI8:AJ8"/>
    <mergeCell ref="AD9:AH9"/>
    <mergeCell ref="W9:Y9"/>
    <mergeCell ref="AV26:AV27"/>
    <mergeCell ref="U9:V9"/>
    <mergeCell ref="C18:C19"/>
    <mergeCell ref="C20:C21"/>
    <mergeCell ref="C72:C73"/>
    <mergeCell ref="AV72:AV73"/>
    <mergeCell ref="C74:C75"/>
    <mergeCell ref="AV74:AV75"/>
    <mergeCell ref="AV70:AV71"/>
    <mergeCell ref="AF6:AV6"/>
    <mergeCell ref="E9:G9"/>
    <mergeCell ref="E8:G8"/>
    <mergeCell ref="H8:K8"/>
    <mergeCell ref="S9:T9"/>
    <mergeCell ref="AV54:AV55"/>
    <mergeCell ref="AV28:AV29"/>
    <mergeCell ref="AV30:AV31"/>
    <mergeCell ref="AV32:AV33"/>
    <mergeCell ref="AV34:AV35"/>
    <mergeCell ref="AV36:AW37"/>
    <mergeCell ref="AW12:AW35"/>
    <mergeCell ref="AV18:AV19"/>
    <mergeCell ref="W8:Y8"/>
    <mergeCell ref="AV20:AV21"/>
    <mergeCell ref="U8:V8"/>
    <mergeCell ref="AV14:AV15"/>
    <mergeCell ref="AV16:AV17"/>
    <mergeCell ref="AU10:AU11"/>
    <mergeCell ref="AV10:AV11"/>
    <mergeCell ref="L8:N8"/>
    <mergeCell ref="Z9:AC9"/>
    <mergeCell ref="A2:E2"/>
    <mergeCell ref="A3:E3"/>
    <mergeCell ref="C58:C59"/>
    <mergeCell ref="AV58:AV59"/>
    <mergeCell ref="AD8:AH8"/>
    <mergeCell ref="Z8:AC8"/>
    <mergeCell ref="D10:D11"/>
    <mergeCell ref="S8:T8"/>
    <mergeCell ref="AV12:AV13"/>
    <mergeCell ref="C24:C25"/>
    <mergeCell ref="C26:C27"/>
    <mergeCell ref="C28:C29"/>
    <mergeCell ref="B12:B35"/>
    <mergeCell ref="AV24:AV25"/>
    <mergeCell ref="H9:K9"/>
    <mergeCell ref="L9:N9"/>
    <mergeCell ref="C10:C11"/>
    <mergeCell ref="C12:C13"/>
    <mergeCell ref="C14:C15"/>
    <mergeCell ref="C16:C17"/>
    <mergeCell ref="C60:C61"/>
    <mergeCell ref="AV60:AV61"/>
    <mergeCell ref="C56:C57"/>
    <mergeCell ref="AV56:AV57"/>
    <mergeCell ref="C46:C47"/>
    <mergeCell ref="AV46:AV47"/>
    <mergeCell ref="C48:C49"/>
    <mergeCell ref="AV48:AV49"/>
    <mergeCell ref="C50:C51"/>
    <mergeCell ref="AV50:AV51"/>
    <mergeCell ref="C108:C109"/>
    <mergeCell ref="AV108:AV109"/>
    <mergeCell ref="C110:C111"/>
    <mergeCell ref="AV110:AV111"/>
    <mergeCell ref="C84:C85"/>
    <mergeCell ref="AV84:AV85"/>
    <mergeCell ref="C86:C87"/>
    <mergeCell ref="AV86:AV87"/>
    <mergeCell ref="B88:C89"/>
    <mergeCell ref="AV88:AW89"/>
    <mergeCell ref="AW64:AW87"/>
    <mergeCell ref="C78:C79"/>
    <mergeCell ref="AV78:AV79"/>
    <mergeCell ref="C80:C81"/>
    <mergeCell ref="AV80:AV81"/>
    <mergeCell ref="C82:C83"/>
    <mergeCell ref="AV82:AV83"/>
    <mergeCell ref="B64:B87"/>
    <mergeCell ref="C64:C65"/>
    <mergeCell ref="AV64:AV65"/>
    <mergeCell ref="C66:C67"/>
    <mergeCell ref="AV66:AV67"/>
    <mergeCell ref="C68:C69"/>
    <mergeCell ref="AV68:AV69"/>
    <mergeCell ref="C112:C113"/>
    <mergeCell ref="AV112:AV113"/>
    <mergeCell ref="B114:C115"/>
    <mergeCell ref="AV114:AW115"/>
    <mergeCell ref="B90:B113"/>
    <mergeCell ref="C90:C91"/>
    <mergeCell ref="AV90:AV91"/>
    <mergeCell ref="AW90:AW113"/>
    <mergeCell ref="C92:C93"/>
    <mergeCell ref="AV92:AV93"/>
    <mergeCell ref="C94:C95"/>
    <mergeCell ref="AV94:AV95"/>
    <mergeCell ref="C96:C97"/>
    <mergeCell ref="AV96:AV97"/>
    <mergeCell ref="C98:C99"/>
    <mergeCell ref="AV98:AV99"/>
    <mergeCell ref="C100:C101"/>
    <mergeCell ref="AV100:AV101"/>
    <mergeCell ref="C102:C103"/>
    <mergeCell ref="AV102:AV103"/>
    <mergeCell ref="C104:C105"/>
    <mergeCell ref="AV104:AV105"/>
    <mergeCell ref="C106:C107"/>
    <mergeCell ref="AV106:AV107"/>
  </mergeCells>
  <pageMargins left="0.7" right="0.7" top="0.75" bottom="0.75" header="0.3" footer="0.3"/>
  <pageSetup orientation="portrait" r:id="rId1"/>
  <headerFooter>
    <oddFooter>&amp;C&amp;1#&amp;"Calibri"&amp;11&amp;Kffa500CONFIDENTIAL▮▮مقيّد</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sheetPr>
  <dimension ref="A1:I73"/>
  <sheetViews>
    <sheetView showGridLines="0" topLeftCell="A31" zoomScale="80" zoomScaleNormal="80" workbookViewId="0">
      <selection activeCell="D61" sqref="D61:G73"/>
    </sheetView>
  </sheetViews>
  <sheetFormatPr defaultColWidth="8.81640625" defaultRowHeight="14.5" x14ac:dyDescent="0.35"/>
  <cols>
    <col min="3" max="5" width="17.81640625" bestFit="1" customWidth="1"/>
    <col min="6" max="6" width="18.54296875" customWidth="1"/>
    <col min="7" max="7" width="21.453125" customWidth="1"/>
    <col min="8" max="8" width="22.453125" bestFit="1" customWidth="1"/>
    <col min="10" max="10" width="17.81640625" bestFit="1" customWidth="1"/>
    <col min="11" max="12" width="17.54296875" customWidth="1"/>
    <col min="13" max="13" width="18.54296875" customWidth="1"/>
    <col min="14" max="18" width="17.54296875" customWidth="1"/>
    <col min="22" max="22" width="10.1796875" bestFit="1" customWidth="1"/>
  </cols>
  <sheetData>
    <row r="1" spans="1:9" x14ac:dyDescent="0.35">
      <c r="A1" s="9" t="s">
        <v>524</v>
      </c>
    </row>
    <row r="2" spans="1:9" x14ac:dyDescent="0.35">
      <c r="A2" s="232" t="s">
        <v>448</v>
      </c>
      <c r="B2" s="232"/>
      <c r="C2" s="232"/>
      <c r="D2" s="232"/>
      <c r="E2" s="232"/>
    </row>
    <row r="3" spans="1:9" x14ac:dyDescent="0.35">
      <c r="A3" s="232" t="s">
        <v>449</v>
      </c>
      <c r="B3" s="232"/>
      <c r="C3" s="232"/>
      <c r="D3" s="232"/>
      <c r="E3" s="232"/>
    </row>
    <row r="4" spans="1:9" x14ac:dyDescent="0.35">
      <c r="A4" s="9"/>
      <c r="B4" s="192"/>
      <c r="C4" s="192"/>
      <c r="D4" s="192"/>
      <c r="E4" s="192"/>
    </row>
    <row r="6" spans="1:9" ht="18" customHeight="1" x14ac:dyDescent="0.35">
      <c r="A6" s="10" t="s">
        <v>136</v>
      </c>
      <c r="B6" s="30" t="s">
        <v>343</v>
      </c>
      <c r="C6" s="13"/>
      <c r="D6" s="13"/>
      <c r="E6" s="13"/>
      <c r="F6" s="13"/>
      <c r="G6" s="13"/>
      <c r="H6" s="13"/>
      <c r="I6" s="74" t="s">
        <v>340</v>
      </c>
    </row>
    <row r="7" spans="1:9" ht="18" customHeight="1" x14ac:dyDescent="0.35">
      <c r="B7" s="59"/>
      <c r="C7" s="60"/>
      <c r="I7" s="59"/>
    </row>
    <row r="8" spans="1:9" ht="29" x14ac:dyDescent="0.35">
      <c r="B8" s="59"/>
      <c r="C8" s="61" t="s">
        <v>99</v>
      </c>
      <c r="D8" s="62" t="s">
        <v>110</v>
      </c>
      <c r="E8" s="62" t="s">
        <v>111</v>
      </c>
      <c r="F8" s="62" t="s">
        <v>112</v>
      </c>
      <c r="G8" s="62" t="s">
        <v>84</v>
      </c>
      <c r="H8" s="63" t="s">
        <v>100</v>
      </c>
      <c r="I8" s="59"/>
    </row>
    <row r="9" spans="1:9" ht="18" customHeight="1" x14ac:dyDescent="0.35">
      <c r="B9" s="233">
        <v>2021</v>
      </c>
      <c r="C9" s="64" t="s">
        <v>70</v>
      </c>
      <c r="D9" s="65">
        <v>594.80999999999995</v>
      </c>
      <c r="E9" s="65">
        <v>5321.1260000000002</v>
      </c>
      <c r="F9" s="65">
        <v>3.7719999999999998</v>
      </c>
      <c r="G9" s="65">
        <v>5919.7079999999996</v>
      </c>
      <c r="H9" s="66" t="s">
        <v>86</v>
      </c>
      <c r="I9" s="236">
        <v>2021</v>
      </c>
    </row>
    <row r="10" spans="1:9" ht="18" customHeight="1" x14ac:dyDescent="0.35">
      <c r="B10" s="234"/>
      <c r="C10" s="64" t="s">
        <v>71</v>
      </c>
      <c r="D10" s="65">
        <v>375.08199999999999</v>
      </c>
      <c r="E10" s="65">
        <v>3993.8130000000001</v>
      </c>
      <c r="F10" s="65">
        <v>7.0190000000000001</v>
      </c>
      <c r="G10" s="65">
        <v>4375.9139999999998</v>
      </c>
      <c r="H10" s="66" t="s">
        <v>87</v>
      </c>
      <c r="I10" s="237"/>
    </row>
    <row r="11" spans="1:9" ht="18" customHeight="1" x14ac:dyDescent="0.35">
      <c r="B11" s="234"/>
      <c r="C11" s="64" t="s">
        <v>72</v>
      </c>
      <c r="D11" s="65">
        <v>349.84899999999999</v>
      </c>
      <c r="E11" s="65">
        <v>4052.0439999999999</v>
      </c>
      <c r="F11" s="65">
        <v>6.1440000000000001</v>
      </c>
      <c r="G11" s="65">
        <v>4408.0370000000003</v>
      </c>
      <c r="H11" s="66" t="s">
        <v>88</v>
      </c>
      <c r="I11" s="237"/>
    </row>
    <row r="12" spans="1:9" ht="18" customHeight="1" x14ac:dyDescent="0.35">
      <c r="B12" s="234"/>
      <c r="C12" s="64" t="s">
        <v>73</v>
      </c>
      <c r="D12" s="65">
        <v>421.52199999999999</v>
      </c>
      <c r="E12" s="65">
        <v>4002.241</v>
      </c>
      <c r="F12" s="65">
        <v>7.24</v>
      </c>
      <c r="G12" s="65">
        <v>4431.0029999999997</v>
      </c>
      <c r="H12" s="66" t="s">
        <v>89</v>
      </c>
      <c r="I12" s="237"/>
    </row>
    <row r="13" spans="1:9" ht="18" customHeight="1" x14ac:dyDescent="0.35">
      <c r="B13" s="234"/>
      <c r="C13" s="64" t="s">
        <v>74</v>
      </c>
      <c r="D13" s="65">
        <v>470.495</v>
      </c>
      <c r="E13" s="65">
        <v>6250.0450000000001</v>
      </c>
      <c r="F13" s="65">
        <v>7.3719999999999999</v>
      </c>
      <c r="G13" s="65">
        <v>6727.9120000000003</v>
      </c>
      <c r="H13" s="66" t="s">
        <v>90</v>
      </c>
      <c r="I13" s="237"/>
    </row>
    <row r="14" spans="1:9" ht="18" customHeight="1" x14ac:dyDescent="0.35">
      <c r="B14" s="234"/>
      <c r="C14" s="64" t="s">
        <v>75</v>
      </c>
      <c r="D14" s="65">
        <v>239.334</v>
      </c>
      <c r="E14" s="65">
        <v>3920.8389999999999</v>
      </c>
      <c r="F14" s="65">
        <v>5.3959999999999999</v>
      </c>
      <c r="G14" s="65">
        <v>4165.5690000000004</v>
      </c>
      <c r="H14" s="66" t="s">
        <v>91</v>
      </c>
      <c r="I14" s="237"/>
    </row>
    <row r="15" spans="1:9" ht="18" customHeight="1" x14ac:dyDescent="0.35">
      <c r="B15" s="234"/>
      <c r="C15" s="64" t="s">
        <v>76</v>
      </c>
      <c r="D15" s="65">
        <v>529.28800000000001</v>
      </c>
      <c r="E15" s="65">
        <v>6999.7669999999998</v>
      </c>
      <c r="F15" s="65">
        <v>4.2960000000000003</v>
      </c>
      <c r="G15" s="65">
        <v>7533.3509999999997</v>
      </c>
      <c r="H15" s="66" t="s">
        <v>92</v>
      </c>
      <c r="I15" s="237"/>
    </row>
    <row r="16" spans="1:9" ht="18" customHeight="1" x14ac:dyDescent="0.35">
      <c r="B16" s="234"/>
      <c r="C16" s="64" t="s">
        <v>77</v>
      </c>
      <c r="D16" s="65">
        <v>385.67399999999998</v>
      </c>
      <c r="E16" s="65">
        <v>5088.82</v>
      </c>
      <c r="F16" s="65">
        <v>7.7560000000000002</v>
      </c>
      <c r="G16" s="65">
        <v>5482.25</v>
      </c>
      <c r="H16" s="66" t="s">
        <v>93</v>
      </c>
      <c r="I16" s="237"/>
    </row>
    <row r="17" spans="2:9" ht="18" customHeight="1" x14ac:dyDescent="0.35">
      <c r="B17" s="234"/>
      <c r="C17" s="64" t="s">
        <v>78</v>
      </c>
      <c r="D17" s="65">
        <v>292.61900000000003</v>
      </c>
      <c r="E17" s="65">
        <v>3890.527</v>
      </c>
      <c r="F17" s="65">
        <v>2.1509999999999998</v>
      </c>
      <c r="G17" s="65">
        <v>4185.2969999999996</v>
      </c>
      <c r="H17" s="66" t="s">
        <v>94</v>
      </c>
      <c r="I17" s="237"/>
    </row>
    <row r="18" spans="2:9" ht="18" customHeight="1" x14ac:dyDescent="0.35">
      <c r="B18" s="234"/>
      <c r="C18" s="64" t="s">
        <v>79</v>
      </c>
      <c r="D18" s="65">
        <v>604.21699999999998</v>
      </c>
      <c r="E18" s="65">
        <v>4786.5730000000003</v>
      </c>
      <c r="F18" s="65">
        <v>7.77</v>
      </c>
      <c r="G18" s="65">
        <v>5398.56</v>
      </c>
      <c r="H18" s="66" t="s">
        <v>95</v>
      </c>
      <c r="I18" s="237"/>
    </row>
    <row r="19" spans="2:9" ht="18" customHeight="1" x14ac:dyDescent="0.35">
      <c r="B19" s="234"/>
      <c r="C19" s="64" t="s">
        <v>80</v>
      </c>
      <c r="D19" s="65">
        <v>937.98099999999999</v>
      </c>
      <c r="E19" s="65">
        <v>5765.74</v>
      </c>
      <c r="F19" s="65">
        <v>9.0299999999999994</v>
      </c>
      <c r="G19" s="65">
        <v>6712.7510000000002</v>
      </c>
      <c r="H19" s="66" t="s">
        <v>96</v>
      </c>
      <c r="I19" s="237"/>
    </row>
    <row r="20" spans="2:9" ht="18" customHeight="1" x14ac:dyDescent="0.35">
      <c r="B20" s="235"/>
      <c r="C20" s="96" t="s">
        <v>81</v>
      </c>
      <c r="D20" s="65">
        <v>407.93799999999999</v>
      </c>
      <c r="E20" s="65">
        <v>4083.7310000000002</v>
      </c>
      <c r="F20" s="65">
        <v>1.877</v>
      </c>
      <c r="G20" s="65">
        <v>4493.5460000000003</v>
      </c>
      <c r="H20" s="97" t="s">
        <v>97</v>
      </c>
      <c r="I20" s="238"/>
    </row>
    <row r="21" spans="2:9" ht="18" customHeight="1" x14ac:dyDescent="0.35">
      <c r="B21" s="282" t="s">
        <v>85</v>
      </c>
      <c r="C21" s="283"/>
      <c r="D21" s="69">
        <v>5608.8090000000002</v>
      </c>
      <c r="E21" s="69">
        <v>58155.266000000003</v>
      </c>
      <c r="F21" s="69">
        <v>69.822999999999993</v>
      </c>
      <c r="G21" s="69">
        <v>63833.898000000001</v>
      </c>
      <c r="H21" s="284" t="s">
        <v>98</v>
      </c>
      <c r="I21" s="285"/>
    </row>
    <row r="22" spans="2:9" x14ac:dyDescent="0.35">
      <c r="B22" s="233">
        <v>2022</v>
      </c>
      <c r="C22" s="64" t="s">
        <v>70</v>
      </c>
      <c r="D22" s="65">
        <v>697.85900000000004</v>
      </c>
      <c r="E22" s="65">
        <v>6962.0519999999997</v>
      </c>
      <c r="F22" s="65">
        <v>15.249000000000001</v>
      </c>
      <c r="G22" s="65">
        <v>7675.16</v>
      </c>
      <c r="H22" s="66" t="s">
        <v>86</v>
      </c>
      <c r="I22" s="236">
        <v>2022</v>
      </c>
    </row>
    <row r="23" spans="2:9" x14ac:dyDescent="0.35">
      <c r="B23" s="234"/>
      <c r="C23" s="64" t="s">
        <v>71</v>
      </c>
      <c r="D23" s="65">
        <v>519.26099999999997</v>
      </c>
      <c r="E23" s="65">
        <v>5921.5050000000001</v>
      </c>
      <c r="F23" s="65">
        <v>9.1720000000000006</v>
      </c>
      <c r="G23" s="65">
        <v>6449.9380000000001</v>
      </c>
      <c r="H23" s="66" t="s">
        <v>87</v>
      </c>
      <c r="I23" s="237"/>
    </row>
    <row r="24" spans="2:9" x14ac:dyDescent="0.35">
      <c r="B24" s="234"/>
      <c r="C24" s="64" t="s">
        <v>72</v>
      </c>
      <c r="D24" s="65">
        <v>553.83799999999997</v>
      </c>
      <c r="E24" s="65">
        <v>5640.7659999999996</v>
      </c>
      <c r="F24" s="65">
        <v>10.151</v>
      </c>
      <c r="G24" s="65">
        <v>6204.7550000000001</v>
      </c>
      <c r="H24" s="66" t="s">
        <v>88</v>
      </c>
      <c r="I24" s="237"/>
    </row>
    <row r="25" spans="2:9" x14ac:dyDescent="0.35">
      <c r="B25" s="234"/>
      <c r="C25" s="64" t="s">
        <v>73</v>
      </c>
      <c r="D25" s="65">
        <v>611.72799999999995</v>
      </c>
      <c r="E25" s="65">
        <v>7417.857</v>
      </c>
      <c r="F25" s="65">
        <v>6.5460000000000003</v>
      </c>
      <c r="G25" s="65">
        <v>8036.1310000000003</v>
      </c>
      <c r="H25" s="66" t="s">
        <v>89</v>
      </c>
      <c r="I25" s="237"/>
    </row>
    <row r="26" spans="2:9" x14ac:dyDescent="0.35">
      <c r="B26" s="234"/>
      <c r="C26" s="64" t="s">
        <v>74</v>
      </c>
      <c r="D26" s="65">
        <v>592.73500000000001</v>
      </c>
      <c r="E26" s="65">
        <v>6642.7650000000003</v>
      </c>
      <c r="F26" s="65">
        <v>10.609</v>
      </c>
      <c r="G26" s="65">
        <v>7246.1090000000004</v>
      </c>
      <c r="H26" s="66" t="s">
        <v>90</v>
      </c>
      <c r="I26" s="237"/>
    </row>
    <row r="27" spans="2:9" x14ac:dyDescent="0.35">
      <c r="B27" s="234"/>
      <c r="C27" s="64" t="s">
        <v>75</v>
      </c>
      <c r="D27" s="65">
        <v>319.35899999999998</v>
      </c>
      <c r="E27" s="65">
        <v>3709.2420000000002</v>
      </c>
      <c r="F27" s="65">
        <v>4.1859999999999999</v>
      </c>
      <c r="G27" s="65">
        <v>4032.7869999999998</v>
      </c>
      <c r="H27" s="66" t="s">
        <v>91</v>
      </c>
      <c r="I27" s="237"/>
    </row>
    <row r="28" spans="2:9" x14ac:dyDescent="0.35">
      <c r="B28" s="234"/>
      <c r="C28" s="64" t="s">
        <v>76</v>
      </c>
      <c r="D28" s="65">
        <v>797.41600000000005</v>
      </c>
      <c r="E28" s="65">
        <v>9992.6090000000004</v>
      </c>
      <c r="F28" s="65">
        <v>5.5289999999999999</v>
      </c>
      <c r="G28" s="65">
        <v>10795.554</v>
      </c>
      <c r="H28" s="66" t="s">
        <v>92</v>
      </c>
      <c r="I28" s="237"/>
    </row>
    <row r="29" spans="2:9" x14ac:dyDescent="0.35">
      <c r="B29" s="234"/>
      <c r="C29" s="64" t="s">
        <v>77</v>
      </c>
      <c r="D29" s="65">
        <v>676.44399999999996</v>
      </c>
      <c r="E29" s="65">
        <v>6327.2830000000004</v>
      </c>
      <c r="F29" s="65">
        <v>4.7110000000000003</v>
      </c>
      <c r="G29" s="65">
        <v>7008.4380000000001</v>
      </c>
      <c r="H29" s="66" t="s">
        <v>93</v>
      </c>
      <c r="I29" s="237"/>
    </row>
    <row r="30" spans="2:9" x14ac:dyDescent="0.35">
      <c r="B30" s="234"/>
      <c r="C30" s="64" t="s">
        <v>78</v>
      </c>
      <c r="D30" s="65">
        <v>582.99599999999998</v>
      </c>
      <c r="E30" s="65">
        <v>3613.0430000000001</v>
      </c>
      <c r="F30" s="65">
        <v>0</v>
      </c>
      <c r="G30" s="65">
        <v>4196.0389999999998</v>
      </c>
      <c r="H30" s="66" t="s">
        <v>94</v>
      </c>
      <c r="I30" s="237"/>
    </row>
    <row r="31" spans="2:9" x14ac:dyDescent="0.35">
      <c r="B31" s="234"/>
      <c r="C31" s="64" t="s">
        <v>79</v>
      </c>
      <c r="D31" s="65">
        <v>776.38300000000004</v>
      </c>
      <c r="E31" s="65">
        <v>4054.105</v>
      </c>
      <c r="F31" s="65">
        <v>7.6980000000000004</v>
      </c>
      <c r="G31" s="65">
        <v>4838.1859999999997</v>
      </c>
      <c r="H31" s="66" t="s">
        <v>95</v>
      </c>
      <c r="I31" s="237"/>
    </row>
    <row r="32" spans="2:9" x14ac:dyDescent="0.35">
      <c r="B32" s="234"/>
      <c r="C32" s="64" t="s">
        <v>80</v>
      </c>
      <c r="D32" s="65">
        <v>920.74400000000003</v>
      </c>
      <c r="E32" s="65">
        <v>6076.4889999999996</v>
      </c>
      <c r="F32" s="65">
        <v>5.9160000000000004</v>
      </c>
      <c r="G32" s="65">
        <v>7003.1490000000003</v>
      </c>
      <c r="H32" s="66" t="s">
        <v>96</v>
      </c>
      <c r="I32" s="237"/>
    </row>
    <row r="33" spans="2:9" x14ac:dyDescent="0.35">
      <c r="B33" s="235"/>
      <c r="C33" s="96" t="s">
        <v>81</v>
      </c>
      <c r="D33" s="65">
        <v>488.55099999999999</v>
      </c>
      <c r="E33" s="65">
        <v>3855.77</v>
      </c>
      <c r="F33" s="65">
        <v>5.9340000000000002</v>
      </c>
      <c r="G33" s="65">
        <v>4350.2550000000001</v>
      </c>
      <c r="H33" s="97" t="s">
        <v>97</v>
      </c>
      <c r="I33" s="238"/>
    </row>
    <row r="34" spans="2:9" x14ac:dyDescent="0.35">
      <c r="B34" s="282" t="s">
        <v>85</v>
      </c>
      <c r="C34" s="283"/>
      <c r="D34" s="69">
        <v>7537.3140000000003</v>
      </c>
      <c r="E34" s="69">
        <v>70213.486000000004</v>
      </c>
      <c r="F34" s="69">
        <v>85.700999999999993</v>
      </c>
      <c r="G34" s="69">
        <v>77836.501000000004</v>
      </c>
      <c r="H34" s="284" t="s">
        <v>98</v>
      </c>
      <c r="I34" s="285"/>
    </row>
    <row r="35" spans="2:9" x14ac:dyDescent="0.35">
      <c r="B35" s="233">
        <v>2023</v>
      </c>
      <c r="C35" s="64" t="s">
        <v>70</v>
      </c>
      <c r="D35" s="65">
        <v>674.10599999999999</v>
      </c>
      <c r="E35" s="65">
        <v>5612.1109999999999</v>
      </c>
      <c r="F35" s="65">
        <v>7.7389999999999999</v>
      </c>
      <c r="G35" s="65">
        <v>6293.9560000000001</v>
      </c>
      <c r="H35" s="66" t="s">
        <v>86</v>
      </c>
      <c r="I35" s="236">
        <v>2023</v>
      </c>
    </row>
    <row r="36" spans="2:9" x14ac:dyDescent="0.35">
      <c r="B36" s="234"/>
      <c r="C36" s="64" t="s">
        <v>71</v>
      </c>
      <c r="D36" s="65">
        <v>745.35400000000004</v>
      </c>
      <c r="E36" s="65">
        <v>4852.1009999999997</v>
      </c>
      <c r="F36" s="65">
        <v>10.182</v>
      </c>
      <c r="G36" s="65">
        <v>5607.6369999999997</v>
      </c>
      <c r="H36" s="66" t="s">
        <v>87</v>
      </c>
      <c r="I36" s="237"/>
    </row>
    <row r="37" spans="2:9" x14ac:dyDescent="0.35">
      <c r="B37" s="234"/>
      <c r="C37" s="64" t="s">
        <v>72</v>
      </c>
      <c r="D37" s="65">
        <v>898.73199999999997</v>
      </c>
      <c r="E37" s="65">
        <v>5596.5</v>
      </c>
      <c r="F37" s="65">
        <v>6.9240000000000004</v>
      </c>
      <c r="G37" s="65">
        <v>6502.1559999999999</v>
      </c>
      <c r="H37" s="66" t="s">
        <v>88</v>
      </c>
      <c r="I37" s="237"/>
    </row>
    <row r="38" spans="2:9" x14ac:dyDescent="0.35">
      <c r="B38" s="234"/>
      <c r="C38" s="64" t="s">
        <v>73</v>
      </c>
      <c r="D38" s="65">
        <v>974.22199999999998</v>
      </c>
      <c r="E38" s="65">
        <v>5899.5609999999997</v>
      </c>
      <c r="F38" s="65">
        <v>7.5129999999999999</v>
      </c>
      <c r="G38" s="65">
        <v>6881.2960000000003</v>
      </c>
      <c r="H38" s="66" t="s">
        <v>89</v>
      </c>
      <c r="I38" s="237"/>
    </row>
    <row r="39" spans="2:9" x14ac:dyDescent="0.35">
      <c r="B39" s="234"/>
      <c r="C39" s="64" t="s">
        <v>74</v>
      </c>
      <c r="D39" s="65">
        <v>669.452</v>
      </c>
      <c r="E39" s="65">
        <v>4330.2139999999999</v>
      </c>
      <c r="F39" s="65">
        <v>3.3250000000000002</v>
      </c>
      <c r="G39" s="65">
        <v>5002.991</v>
      </c>
      <c r="H39" s="66" t="s">
        <v>90</v>
      </c>
      <c r="I39" s="237"/>
    </row>
    <row r="40" spans="2:9" x14ac:dyDescent="0.35">
      <c r="B40" s="234"/>
      <c r="C40" s="64" t="s">
        <v>75</v>
      </c>
      <c r="D40" s="65">
        <v>1182.663</v>
      </c>
      <c r="E40" s="65">
        <v>8358.23</v>
      </c>
      <c r="F40" s="65">
        <v>6.9669999999999996</v>
      </c>
      <c r="G40" s="65">
        <v>9547.86</v>
      </c>
      <c r="H40" s="66" t="s">
        <v>91</v>
      </c>
      <c r="I40" s="237"/>
    </row>
    <row r="41" spans="2:9" x14ac:dyDescent="0.35">
      <c r="B41" s="234"/>
      <c r="C41" s="64" t="s">
        <v>76</v>
      </c>
      <c r="D41" s="65">
        <v>1011.79</v>
      </c>
      <c r="E41" s="65">
        <v>7099.951</v>
      </c>
      <c r="F41" s="65">
        <v>6.5149999999999997</v>
      </c>
      <c r="G41" s="65">
        <v>8118.2560000000003</v>
      </c>
      <c r="H41" s="66" t="s">
        <v>92</v>
      </c>
      <c r="I41" s="237"/>
    </row>
    <row r="42" spans="2:9" x14ac:dyDescent="0.35">
      <c r="B42" s="234"/>
      <c r="C42" s="64" t="s">
        <v>77</v>
      </c>
      <c r="D42" s="65">
        <v>816.06</v>
      </c>
      <c r="E42" s="65">
        <v>6163.7259999999997</v>
      </c>
      <c r="F42" s="65">
        <v>6.1619999999999999</v>
      </c>
      <c r="G42" s="65">
        <v>6985.9480000000003</v>
      </c>
      <c r="H42" s="66" t="s">
        <v>93</v>
      </c>
      <c r="I42" s="237"/>
    </row>
    <row r="43" spans="2:9" x14ac:dyDescent="0.35">
      <c r="B43" s="234"/>
      <c r="C43" s="64" t="s">
        <v>78</v>
      </c>
      <c r="D43" s="65">
        <v>738.20399999999995</v>
      </c>
      <c r="E43" s="65">
        <v>5334.3149999999996</v>
      </c>
      <c r="F43" s="65">
        <v>1.3080000000000001</v>
      </c>
      <c r="G43" s="65">
        <v>6073.8270000000002</v>
      </c>
      <c r="H43" s="66" t="s">
        <v>94</v>
      </c>
      <c r="I43" s="237"/>
    </row>
    <row r="44" spans="2:9" x14ac:dyDescent="0.35">
      <c r="B44" s="234"/>
      <c r="C44" s="64" t="s">
        <v>79</v>
      </c>
      <c r="D44" s="65">
        <v>765.82100000000003</v>
      </c>
      <c r="E44" s="65">
        <v>5430.58</v>
      </c>
      <c r="F44" s="65">
        <v>5.6180000000000003</v>
      </c>
      <c r="G44" s="65">
        <v>6202.0190000000002</v>
      </c>
      <c r="H44" s="66" t="s">
        <v>95</v>
      </c>
      <c r="I44" s="237"/>
    </row>
    <row r="45" spans="2:9" x14ac:dyDescent="0.35">
      <c r="B45" s="234"/>
      <c r="C45" s="64" t="s">
        <v>80</v>
      </c>
      <c r="D45" s="65">
        <v>973.35199999999998</v>
      </c>
      <c r="E45" s="65">
        <v>7236.31</v>
      </c>
      <c r="F45" s="65">
        <v>10.664999999999999</v>
      </c>
      <c r="G45" s="65">
        <v>8220.3269999999993</v>
      </c>
      <c r="H45" s="66" t="s">
        <v>96</v>
      </c>
      <c r="I45" s="237"/>
    </row>
    <row r="46" spans="2:9" x14ac:dyDescent="0.35">
      <c r="B46" s="235"/>
      <c r="C46" s="96" t="s">
        <v>81</v>
      </c>
      <c r="D46" s="65">
        <v>856.851</v>
      </c>
      <c r="E46" s="65">
        <v>5620.0119999999997</v>
      </c>
      <c r="F46" s="65">
        <v>7.226</v>
      </c>
      <c r="G46" s="65">
        <v>6484.0889999999999</v>
      </c>
      <c r="H46" s="97" t="s">
        <v>97</v>
      </c>
      <c r="I46" s="238"/>
    </row>
    <row r="47" spans="2:9" x14ac:dyDescent="0.35">
      <c r="B47" s="282" t="s">
        <v>85</v>
      </c>
      <c r="C47" s="283"/>
      <c r="D47" s="69">
        <v>10306.607</v>
      </c>
      <c r="E47" s="69">
        <v>71533.611000000004</v>
      </c>
      <c r="F47" s="69">
        <v>80.144000000000005</v>
      </c>
      <c r="G47" s="69">
        <v>81920.361999999994</v>
      </c>
      <c r="H47" s="284" t="s">
        <v>98</v>
      </c>
      <c r="I47" s="285"/>
    </row>
    <row r="48" spans="2:9" x14ac:dyDescent="0.35">
      <c r="B48" s="233">
        <v>2024</v>
      </c>
      <c r="C48" s="64" t="s">
        <v>70</v>
      </c>
      <c r="D48" s="65">
        <v>935.45699999999999</v>
      </c>
      <c r="E48" s="65">
        <v>6837.9380000000001</v>
      </c>
      <c r="F48" s="65">
        <v>6.97</v>
      </c>
      <c r="G48" s="65">
        <v>7780.3649999999998</v>
      </c>
      <c r="H48" s="66" t="s">
        <v>86</v>
      </c>
      <c r="I48" s="236">
        <v>2024</v>
      </c>
    </row>
    <row r="49" spans="2:9" x14ac:dyDescent="0.35">
      <c r="B49" s="234"/>
      <c r="C49" s="64" t="s">
        <v>71</v>
      </c>
      <c r="D49" s="65">
        <v>912.92</v>
      </c>
      <c r="E49" s="65">
        <v>6820.9989999999998</v>
      </c>
      <c r="F49" s="65">
        <v>8.7829999999999995</v>
      </c>
      <c r="G49" s="65">
        <v>7742.7020000000002</v>
      </c>
      <c r="H49" s="66" t="s">
        <v>87</v>
      </c>
      <c r="I49" s="237"/>
    </row>
    <row r="50" spans="2:9" x14ac:dyDescent="0.35">
      <c r="B50" s="234"/>
      <c r="C50" s="64" t="s">
        <v>72</v>
      </c>
      <c r="D50" s="65">
        <v>1020.45</v>
      </c>
      <c r="E50" s="65">
        <v>5775.5020000000004</v>
      </c>
      <c r="F50" s="65">
        <v>6.6269999999999998</v>
      </c>
      <c r="G50" s="65">
        <v>6802.5789999999997</v>
      </c>
      <c r="H50" s="66" t="s">
        <v>88</v>
      </c>
      <c r="I50" s="237"/>
    </row>
    <row r="51" spans="2:9" x14ac:dyDescent="0.35">
      <c r="B51" s="234"/>
      <c r="C51" s="64" t="s">
        <v>73</v>
      </c>
      <c r="D51" s="65">
        <v>706.95699999999999</v>
      </c>
      <c r="E51" s="65">
        <v>6486.7219999999998</v>
      </c>
      <c r="F51" s="65">
        <v>6.7229999999999999</v>
      </c>
      <c r="G51" s="65">
        <v>7200.402</v>
      </c>
      <c r="H51" s="66" t="s">
        <v>89</v>
      </c>
      <c r="I51" s="237"/>
    </row>
    <row r="52" spans="2:9" x14ac:dyDescent="0.35">
      <c r="B52" s="234"/>
      <c r="C52" s="64" t="s">
        <v>74</v>
      </c>
      <c r="D52" s="65">
        <v>620.85500000000002</v>
      </c>
      <c r="E52" s="65">
        <v>5350.183</v>
      </c>
      <c r="F52" s="65">
        <v>4.96</v>
      </c>
      <c r="G52" s="65">
        <v>5975.9979999999996</v>
      </c>
      <c r="H52" s="66" t="s">
        <v>90</v>
      </c>
      <c r="I52" s="237"/>
    </row>
    <row r="53" spans="2:9" x14ac:dyDescent="0.35">
      <c r="B53" s="234"/>
      <c r="C53" s="64" t="s">
        <v>75</v>
      </c>
      <c r="D53" s="65">
        <v>942.096</v>
      </c>
      <c r="E53" s="65">
        <v>8661.9490000000005</v>
      </c>
      <c r="F53" s="65">
        <v>9.0640000000000001</v>
      </c>
      <c r="G53" s="65">
        <v>9613.1090000000004</v>
      </c>
      <c r="H53" s="66" t="s">
        <v>91</v>
      </c>
      <c r="I53" s="237"/>
    </row>
    <row r="54" spans="2:9" x14ac:dyDescent="0.35">
      <c r="B54" s="234"/>
      <c r="C54" s="64" t="s">
        <v>76</v>
      </c>
      <c r="D54" s="65">
        <v>811.44200000000001</v>
      </c>
      <c r="E54" s="65">
        <v>7249.6940000000004</v>
      </c>
      <c r="F54" s="65">
        <v>1.726</v>
      </c>
      <c r="G54" s="65">
        <v>8062.8620000000001</v>
      </c>
      <c r="H54" s="66" t="s">
        <v>92</v>
      </c>
      <c r="I54" s="237"/>
    </row>
    <row r="55" spans="2:9" x14ac:dyDescent="0.35">
      <c r="B55" s="234"/>
      <c r="C55" s="64" t="s">
        <v>77</v>
      </c>
      <c r="D55" s="65">
        <v>644.27800000000002</v>
      </c>
      <c r="E55" s="65">
        <v>5797.7049999999999</v>
      </c>
      <c r="F55" s="65">
        <v>5.98</v>
      </c>
      <c r="G55" s="65">
        <v>6447.9629999999997</v>
      </c>
      <c r="H55" s="66" t="s">
        <v>93</v>
      </c>
      <c r="I55" s="237"/>
    </row>
    <row r="56" spans="2:9" x14ac:dyDescent="0.35">
      <c r="B56" s="234"/>
      <c r="C56" s="64" t="s">
        <v>78</v>
      </c>
      <c r="D56" s="65">
        <v>691.90700000000004</v>
      </c>
      <c r="E56" s="65">
        <v>5210.2</v>
      </c>
      <c r="F56" s="65">
        <v>5.36</v>
      </c>
      <c r="G56" s="65">
        <v>5907.4669999999996</v>
      </c>
      <c r="H56" s="66" t="s">
        <v>94</v>
      </c>
      <c r="I56" s="237"/>
    </row>
    <row r="57" spans="2:9" x14ac:dyDescent="0.35">
      <c r="B57" s="234"/>
      <c r="C57" s="64" t="s">
        <v>79</v>
      </c>
      <c r="D57" s="65">
        <v>606.67399999999998</v>
      </c>
      <c r="E57" s="65">
        <v>5180.1909999999998</v>
      </c>
      <c r="F57" s="65">
        <v>6.9</v>
      </c>
      <c r="G57" s="65">
        <v>5793.7650000000003</v>
      </c>
      <c r="H57" s="66" t="s">
        <v>95</v>
      </c>
      <c r="I57" s="237"/>
    </row>
    <row r="58" spans="2:9" x14ac:dyDescent="0.35">
      <c r="B58" s="234"/>
      <c r="C58" s="64" t="s">
        <v>80</v>
      </c>
      <c r="D58" s="65">
        <v>874.90499999999997</v>
      </c>
      <c r="E58" s="65">
        <v>7024.268</v>
      </c>
      <c r="F58" s="65">
        <v>7.5529999999999999</v>
      </c>
      <c r="G58" s="65">
        <v>7906.7259999999997</v>
      </c>
      <c r="H58" s="66" t="s">
        <v>96</v>
      </c>
      <c r="I58" s="237"/>
    </row>
    <row r="59" spans="2:9" x14ac:dyDescent="0.35">
      <c r="B59" s="235"/>
      <c r="C59" s="96" t="s">
        <v>81</v>
      </c>
      <c r="D59" s="65">
        <v>810.75400000000002</v>
      </c>
      <c r="E59" s="65">
        <v>6104.1450000000004</v>
      </c>
      <c r="F59" s="65">
        <v>8.5220000000000002</v>
      </c>
      <c r="G59" s="65">
        <v>6923.4210000000003</v>
      </c>
      <c r="H59" s="97" t="s">
        <v>97</v>
      </c>
      <c r="I59" s="238"/>
    </row>
    <row r="60" spans="2:9" x14ac:dyDescent="0.35">
      <c r="B60" s="282" t="s">
        <v>85</v>
      </c>
      <c r="C60" s="283"/>
      <c r="D60" s="69">
        <v>9578.6949999999997</v>
      </c>
      <c r="E60" s="69">
        <v>76499.495999999999</v>
      </c>
      <c r="F60" s="69">
        <v>79.168000000000006</v>
      </c>
      <c r="G60" s="69">
        <v>86157.358999999997</v>
      </c>
      <c r="H60" s="284" t="s">
        <v>98</v>
      </c>
      <c r="I60" s="285"/>
    </row>
    <row r="61" spans="2:9" x14ac:dyDescent="0.35">
      <c r="B61" s="233">
        <v>2025</v>
      </c>
      <c r="C61" s="64" t="s">
        <v>70</v>
      </c>
      <c r="D61" s="65">
        <v>542.31600000000003</v>
      </c>
      <c r="E61" s="65">
        <v>7832.1610000000001</v>
      </c>
      <c r="F61" s="65">
        <v>2.3380000000000001</v>
      </c>
      <c r="G61" s="65">
        <v>8376.8150000000005</v>
      </c>
      <c r="H61" s="66" t="s">
        <v>86</v>
      </c>
      <c r="I61" s="236">
        <v>2025</v>
      </c>
    </row>
    <row r="62" spans="2:9" x14ac:dyDescent="0.35">
      <c r="B62" s="234"/>
      <c r="C62" s="64" t="s">
        <v>71</v>
      </c>
      <c r="D62" s="65">
        <v>408.24599999999998</v>
      </c>
      <c r="E62" s="65">
        <v>6776.4769999999999</v>
      </c>
      <c r="F62" s="65">
        <v>1.877</v>
      </c>
      <c r="G62" s="65">
        <v>7186.6</v>
      </c>
      <c r="H62" s="66" t="s">
        <v>87</v>
      </c>
      <c r="I62" s="237"/>
    </row>
    <row r="63" spans="2:9" x14ac:dyDescent="0.35">
      <c r="B63" s="234"/>
      <c r="C63" s="64" t="s">
        <v>72</v>
      </c>
      <c r="D63" s="65">
        <v>398.35500000000002</v>
      </c>
      <c r="E63" s="65">
        <v>8889.3259999999991</v>
      </c>
      <c r="F63" s="65">
        <v>3.6840000000000002</v>
      </c>
      <c r="G63" s="65">
        <v>9291.3649999999998</v>
      </c>
      <c r="H63" s="66" t="s">
        <v>88</v>
      </c>
      <c r="I63" s="237"/>
    </row>
    <row r="64" spans="2:9" x14ac:dyDescent="0.35">
      <c r="B64" s="234"/>
      <c r="C64" s="64" t="s">
        <v>73</v>
      </c>
      <c r="D64" s="65">
        <v>337.73700000000002</v>
      </c>
      <c r="E64" s="65">
        <v>6226.9620000000004</v>
      </c>
      <c r="F64" s="65">
        <v>1.042</v>
      </c>
      <c r="G64" s="65">
        <v>6565.741</v>
      </c>
      <c r="H64" s="66" t="s">
        <v>89</v>
      </c>
      <c r="I64" s="237"/>
    </row>
    <row r="65" spans="2:9" x14ac:dyDescent="0.35">
      <c r="B65" s="234"/>
      <c r="C65" s="64" t="s">
        <v>74</v>
      </c>
      <c r="D65" s="65">
        <v>562.95299999999997</v>
      </c>
      <c r="E65" s="65">
        <v>6769.7020000000002</v>
      </c>
      <c r="F65" s="65">
        <v>0.67900000000000005</v>
      </c>
      <c r="G65" s="65">
        <v>7333.3339999999998</v>
      </c>
      <c r="H65" s="66" t="s">
        <v>90</v>
      </c>
      <c r="I65" s="237"/>
    </row>
    <row r="66" spans="2:9" x14ac:dyDescent="0.35">
      <c r="B66" s="234"/>
      <c r="C66" s="64" t="s">
        <v>75</v>
      </c>
      <c r="D66" s="65">
        <v>475.529</v>
      </c>
      <c r="E66" s="65">
        <v>7310.5169999999998</v>
      </c>
      <c r="F66" s="65">
        <v>0.85399999999999998</v>
      </c>
      <c r="G66" s="65">
        <v>7786.9</v>
      </c>
      <c r="H66" s="66" t="s">
        <v>91</v>
      </c>
      <c r="I66" s="237"/>
    </row>
    <row r="67" spans="2:9" x14ac:dyDescent="0.35">
      <c r="B67" s="234"/>
      <c r="C67" s="64" t="s">
        <v>76</v>
      </c>
      <c r="D67" s="65">
        <v>574.46699999999998</v>
      </c>
      <c r="E67" s="65">
        <v>8118.0770000000002</v>
      </c>
      <c r="F67" s="65">
        <v>0.97699999999999998</v>
      </c>
      <c r="G67" s="65">
        <v>8693.5210000000006</v>
      </c>
      <c r="H67" s="66" t="s">
        <v>92</v>
      </c>
      <c r="I67" s="237"/>
    </row>
    <row r="68" spans="2:9" x14ac:dyDescent="0.35">
      <c r="B68" s="234"/>
      <c r="C68" s="64" t="s">
        <v>77</v>
      </c>
      <c r="D68" s="65">
        <v>545.22799999999995</v>
      </c>
      <c r="E68" s="65">
        <v>7639.1180000000004</v>
      </c>
      <c r="F68" s="65">
        <v>0.56899999999999995</v>
      </c>
      <c r="G68" s="65">
        <v>8184.915</v>
      </c>
      <c r="H68" s="66" t="s">
        <v>93</v>
      </c>
      <c r="I68" s="237"/>
    </row>
    <row r="69" spans="2:9" x14ac:dyDescent="0.35">
      <c r="B69" s="234"/>
      <c r="C69" s="64" t="s">
        <v>78</v>
      </c>
      <c r="D69" s="65">
        <v>488.52300000000002</v>
      </c>
      <c r="E69" s="65">
        <v>6023.8689999999997</v>
      </c>
      <c r="F69" s="65">
        <v>0.54400000000000004</v>
      </c>
      <c r="G69" s="65">
        <v>6512.9359999999997</v>
      </c>
      <c r="H69" s="66" t="s">
        <v>94</v>
      </c>
      <c r="I69" s="237"/>
    </row>
    <row r="70" spans="2:9" x14ac:dyDescent="0.35">
      <c r="B70" s="234"/>
      <c r="C70" s="64" t="s">
        <v>79</v>
      </c>
      <c r="D70" s="65">
        <v>547.03599999999994</v>
      </c>
      <c r="E70" s="65">
        <v>6813.5119999999997</v>
      </c>
      <c r="F70" s="65">
        <v>0.81699999999999995</v>
      </c>
      <c r="G70" s="65">
        <v>7361.3649999999998</v>
      </c>
      <c r="H70" s="66" t="s">
        <v>95</v>
      </c>
      <c r="I70" s="237"/>
    </row>
    <row r="71" spans="2:9" x14ac:dyDescent="0.35">
      <c r="B71" s="234"/>
      <c r="C71" s="64" t="s">
        <v>80</v>
      </c>
      <c r="D71" s="65">
        <v>456.68799999999999</v>
      </c>
      <c r="E71" s="65">
        <v>8176.9610000000002</v>
      </c>
      <c r="F71" s="65">
        <v>2.1459999999999999</v>
      </c>
      <c r="G71" s="65">
        <v>8635.7950000000001</v>
      </c>
      <c r="H71" s="66" t="s">
        <v>96</v>
      </c>
      <c r="I71" s="237"/>
    </row>
    <row r="72" spans="2:9" x14ac:dyDescent="0.35">
      <c r="B72" s="235"/>
      <c r="C72" s="96" t="s">
        <v>81</v>
      </c>
      <c r="D72" s="65">
        <v>434.25400000000002</v>
      </c>
      <c r="E72" s="65">
        <v>6957.8509999999997</v>
      </c>
      <c r="F72" s="65">
        <v>2.121</v>
      </c>
      <c r="G72" s="65">
        <v>7394.2259999999997</v>
      </c>
      <c r="H72" s="97" t="s">
        <v>97</v>
      </c>
      <c r="I72" s="238"/>
    </row>
    <row r="73" spans="2:9" x14ac:dyDescent="0.35">
      <c r="B73" s="282" t="s">
        <v>85</v>
      </c>
      <c r="C73" s="283"/>
      <c r="D73" s="69">
        <v>5771.3320000000003</v>
      </c>
      <c r="E73" s="69">
        <v>87534.532999999996</v>
      </c>
      <c r="F73" s="69">
        <v>17.648</v>
      </c>
      <c r="G73" s="69">
        <v>93323.513000000006</v>
      </c>
      <c r="H73" s="284" t="s">
        <v>98</v>
      </c>
      <c r="I73" s="285"/>
    </row>
  </sheetData>
  <mergeCells count="22">
    <mergeCell ref="B61:B72"/>
    <mergeCell ref="I61:I72"/>
    <mergeCell ref="B73:C73"/>
    <mergeCell ref="H73:I73"/>
    <mergeCell ref="A2:E2"/>
    <mergeCell ref="A3:E3"/>
    <mergeCell ref="B34:C34"/>
    <mergeCell ref="H34:I34"/>
    <mergeCell ref="B9:B20"/>
    <mergeCell ref="I9:I20"/>
    <mergeCell ref="B21:C21"/>
    <mergeCell ref="H21:I21"/>
    <mergeCell ref="B22:B33"/>
    <mergeCell ref="I22:I33"/>
    <mergeCell ref="B48:B59"/>
    <mergeCell ref="I48:I59"/>
    <mergeCell ref="B60:C60"/>
    <mergeCell ref="H60:I60"/>
    <mergeCell ref="B35:B46"/>
    <mergeCell ref="I35:I46"/>
    <mergeCell ref="B47:C47"/>
    <mergeCell ref="H47:I47"/>
  </mergeCells>
  <pageMargins left="0.7" right="0.7" top="0.75" bottom="0.75" header="0.3" footer="0.3"/>
  <pageSetup orientation="portrait" r:id="rId1"/>
  <headerFooter>
    <oddFooter>&amp;C&amp;1#&amp;"Calibri"&amp;11&amp;Kffa500CONFIDENTIAL▮▮مقيّد</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sheetPr>
  <dimension ref="A1:J74"/>
  <sheetViews>
    <sheetView showGridLines="0" topLeftCell="A38" zoomScale="80" zoomScaleNormal="80" workbookViewId="0">
      <selection activeCell="D62" sqref="D62:H74"/>
    </sheetView>
  </sheetViews>
  <sheetFormatPr defaultColWidth="8.81640625" defaultRowHeight="14.5" x14ac:dyDescent="0.35"/>
  <cols>
    <col min="3" max="5" width="17.81640625" bestFit="1" customWidth="1"/>
    <col min="6" max="6" width="18.54296875" customWidth="1"/>
    <col min="7" max="7" width="21.453125" customWidth="1"/>
    <col min="8" max="8" width="22.453125" bestFit="1" customWidth="1"/>
    <col min="9" max="9" width="21.453125" customWidth="1"/>
    <col min="11" max="12" width="17.54296875" customWidth="1"/>
    <col min="13" max="13" width="18.54296875" customWidth="1"/>
    <col min="14" max="18" width="17.54296875" customWidth="1"/>
    <col min="22" max="22" width="10.1796875" bestFit="1" customWidth="1"/>
  </cols>
  <sheetData>
    <row r="1" spans="1:10" x14ac:dyDescent="0.35">
      <c r="A1" s="9" t="s">
        <v>524</v>
      </c>
    </row>
    <row r="2" spans="1:10" x14ac:dyDescent="0.35">
      <c r="A2" s="232" t="s">
        <v>448</v>
      </c>
      <c r="B2" s="232"/>
      <c r="C2" s="232"/>
      <c r="D2" s="232"/>
      <c r="E2" s="232"/>
    </row>
    <row r="3" spans="1:10" x14ac:dyDescent="0.35">
      <c r="A3" s="232" t="s">
        <v>449</v>
      </c>
      <c r="B3" s="232"/>
      <c r="C3" s="232"/>
      <c r="D3" s="232"/>
      <c r="E3" s="232"/>
    </row>
    <row r="4" spans="1:10" x14ac:dyDescent="0.35">
      <c r="A4" s="9"/>
      <c r="B4" s="192"/>
      <c r="C4" s="192"/>
      <c r="D4" s="192"/>
      <c r="E4" s="192"/>
    </row>
    <row r="6" spans="1:10" ht="18" customHeight="1" x14ac:dyDescent="0.35">
      <c r="A6" s="10" t="s">
        <v>137</v>
      </c>
      <c r="B6" s="30" t="s">
        <v>342</v>
      </c>
      <c r="C6" s="13"/>
      <c r="D6" s="13"/>
      <c r="E6" s="13"/>
      <c r="F6" s="13"/>
      <c r="G6" s="13"/>
      <c r="H6" s="13"/>
      <c r="I6" s="13"/>
      <c r="J6" s="31" t="s">
        <v>341</v>
      </c>
    </row>
    <row r="7" spans="1:10" ht="18" customHeight="1" x14ac:dyDescent="0.35">
      <c r="B7" s="59"/>
      <c r="C7" s="60"/>
      <c r="J7" s="59"/>
    </row>
    <row r="8" spans="1:10" ht="18" customHeight="1" x14ac:dyDescent="0.35">
      <c r="B8" s="59"/>
      <c r="C8" s="60"/>
      <c r="D8" s="62" t="s">
        <v>334</v>
      </c>
      <c r="E8" s="62" t="s">
        <v>287</v>
      </c>
      <c r="F8" s="62" t="s">
        <v>284</v>
      </c>
      <c r="G8" s="62" t="s">
        <v>336</v>
      </c>
      <c r="H8" s="62" t="s">
        <v>98</v>
      </c>
      <c r="J8" s="59"/>
    </row>
    <row r="9" spans="1:10" x14ac:dyDescent="0.35">
      <c r="B9" s="59"/>
      <c r="C9" s="61" t="s">
        <v>99</v>
      </c>
      <c r="D9" s="62" t="s">
        <v>335</v>
      </c>
      <c r="E9" s="62" t="s">
        <v>285</v>
      </c>
      <c r="F9" s="62" t="s">
        <v>273</v>
      </c>
      <c r="G9" s="62" t="s">
        <v>286</v>
      </c>
      <c r="H9" s="62" t="s">
        <v>82</v>
      </c>
      <c r="I9" s="63" t="s">
        <v>100</v>
      </c>
      <c r="J9" s="59"/>
    </row>
    <row r="10" spans="1:10" ht="18" customHeight="1" x14ac:dyDescent="0.35">
      <c r="B10" s="233">
        <v>2021</v>
      </c>
      <c r="C10" s="64" t="s">
        <v>70</v>
      </c>
      <c r="D10" s="65">
        <v>1631.16</v>
      </c>
      <c r="E10" s="65">
        <v>1619.402</v>
      </c>
      <c r="F10" s="65">
        <v>160.43899999999999</v>
      </c>
      <c r="G10" s="65">
        <v>2508.7069999999999</v>
      </c>
      <c r="H10" s="65">
        <v>5919.7079999999996</v>
      </c>
      <c r="I10" s="66" t="s">
        <v>86</v>
      </c>
      <c r="J10" s="236">
        <v>2021</v>
      </c>
    </row>
    <row r="11" spans="1:10" ht="18" customHeight="1" x14ac:dyDescent="0.35">
      <c r="B11" s="234"/>
      <c r="C11" s="64" t="s">
        <v>71</v>
      </c>
      <c r="D11" s="65">
        <v>1111.115</v>
      </c>
      <c r="E11" s="65">
        <v>1148.4290000000001</v>
      </c>
      <c r="F11" s="65">
        <v>125.453</v>
      </c>
      <c r="G11" s="65">
        <v>1990.9169999999999</v>
      </c>
      <c r="H11" s="65">
        <v>4375.9139999999998</v>
      </c>
      <c r="I11" s="66" t="s">
        <v>87</v>
      </c>
      <c r="J11" s="237"/>
    </row>
    <row r="12" spans="1:10" ht="18" customHeight="1" x14ac:dyDescent="0.35">
      <c r="B12" s="234"/>
      <c r="C12" s="64" t="s">
        <v>72</v>
      </c>
      <c r="D12" s="65">
        <v>1182.617</v>
      </c>
      <c r="E12" s="65">
        <v>1162.2940000000001</v>
      </c>
      <c r="F12" s="65">
        <v>117.258</v>
      </c>
      <c r="G12" s="65">
        <v>1945.8679999999999</v>
      </c>
      <c r="H12" s="65">
        <v>4408.0370000000003</v>
      </c>
      <c r="I12" s="66" t="s">
        <v>88</v>
      </c>
      <c r="J12" s="237"/>
    </row>
    <row r="13" spans="1:10" ht="18" customHeight="1" x14ac:dyDescent="0.35">
      <c r="B13" s="234"/>
      <c r="C13" s="64" t="s">
        <v>73</v>
      </c>
      <c r="D13" s="65">
        <v>1364.1569999999999</v>
      </c>
      <c r="E13" s="65">
        <v>1184.338</v>
      </c>
      <c r="F13" s="65">
        <v>58.61</v>
      </c>
      <c r="G13" s="65">
        <v>1823.8979999999999</v>
      </c>
      <c r="H13" s="65">
        <v>4431.0029999999997</v>
      </c>
      <c r="I13" s="66" t="s">
        <v>89</v>
      </c>
      <c r="J13" s="237"/>
    </row>
    <row r="14" spans="1:10" ht="18" customHeight="1" x14ac:dyDescent="0.35">
      <c r="B14" s="234"/>
      <c r="C14" s="64" t="s">
        <v>74</v>
      </c>
      <c r="D14" s="65">
        <v>1861.374</v>
      </c>
      <c r="E14" s="65">
        <v>1583.2750000000001</v>
      </c>
      <c r="F14" s="65">
        <v>28.186</v>
      </c>
      <c r="G14" s="65">
        <v>3255.0770000000002</v>
      </c>
      <c r="H14" s="65">
        <v>6727.9120000000003</v>
      </c>
      <c r="I14" s="66" t="s">
        <v>90</v>
      </c>
      <c r="J14" s="237"/>
    </row>
    <row r="15" spans="1:10" ht="18" customHeight="1" x14ac:dyDescent="0.35">
      <c r="B15" s="234"/>
      <c r="C15" s="64" t="s">
        <v>75</v>
      </c>
      <c r="D15" s="65">
        <v>1197.9949999999999</v>
      </c>
      <c r="E15" s="65">
        <v>1091.133</v>
      </c>
      <c r="F15" s="65">
        <v>27.898</v>
      </c>
      <c r="G15" s="65">
        <v>1848.5429999999999</v>
      </c>
      <c r="H15" s="65">
        <v>4165.5690000000004</v>
      </c>
      <c r="I15" s="66" t="s">
        <v>91</v>
      </c>
      <c r="J15" s="237"/>
    </row>
    <row r="16" spans="1:10" ht="18" customHeight="1" x14ac:dyDescent="0.35">
      <c r="B16" s="234"/>
      <c r="C16" s="64" t="s">
        <v>76</v>
      </c>
      <c r="D16" s="65">
        <v>1893.8140000000001</v>
      </c>
      <c r="E16" s="65">
        <v>1554.7280000000001</v>
      </c>
      <c r="F16" s="65">
        <v>95.382999999999996</v>
      </c>
      <c r="G16" s="65">
        <v>3989.4259999999999</v>
      </c>
      <c r="H16" s="65">
        <v>7533.3509999999997</v>
      </c>
      <c r="I16" s="66" t="s">
        <v>92</v>
      </c>
      <c r="J16" s="237"/>
    </row>
    <row r="17" spans="2:10" ht="18" customHeight="1" x14ac:dyDescent="0.35">
      <c r="B17" s="234"/>
      <c r="C17" s="64" t="s">
        <v>77</v>
      </c>
      <c r="D17" s="65">
        <v>1651.17</v>
      </c>
      <c r="E17" s="65">
        <v>1564.7670000000001</v>
      </c>
      <c r="F17" s="65">
        <v>54.058999999999997</v>
      </c>
      <c r="G17" s="65">
        <v>2212.2539999999999</v>
      </c>
      <c r="H17" s="65">
        <v>5482.25</v>
      </c>
      <c r="I17" s="66" t="s">
        <v>93</v>
      </c>
      <c r="J17" s="237"/>
    </row>
    <row r="18" spans="2:10" ht="18" customHeight="1" x14ac:dyDescent="0.35">
      <c r="B18" s="234"/>
      <c r="C18" s="64" t="s">
        <v>78</v>
      </c>
      <c r="D18" s="65">
        <v>1300.3610000000001</v>
      </c>
      <c r="E18" s="65">
        <v>1285.31</v>
      </c>
      <c r="F18" s="65">
        <v>28.241</v>
      </c>
      <c r="G18" s="65">
        <v>1571.385</v>
      </c>
      <c r="H18" s="65">
        <v>4185.2969999999996</v>
      </c>
      <c r="I18" s="66" t="s">
        <v>94</v>
      </c>
      <c r="J18" s="237"/>
    </row>
    <row r="19" spans="2:10" ht="18" customHeight="1" x14ac:dyDescent="0.35">
      <c r="B19" s="234"/>
      <c r="C19" s="64" t="s">
        <v>79</v>
      </c>
      <c r="D19" s="65">
        <v>1543.1179999999999</v>
      </c>
      <c r="E19" s="65">
        <v>2009.5830000000001</v>
      </c>
      <c r="F19" s="65">
        <v>144.6</v>
      </c>
      <c r="G19" s="65">
        <v>1701.259</v>
      </c>
      <c r="H19" s="65">
        <v>5398.56</v>
      </c>
      <c r="I19" s="66" t="s">
        <v>95</v>
      </c>
      <c r="J19" s="237"/>
    </row>
    <row r="20" spans="2:10" ht="18" customHeight="1" x14ac:dyDescent="0.35">
      <c r="B20" s="234"/>
      <c r="C20" s="64" t="s">
        <v>80</v>
      </c>
      <c r="D20" s="65">
        <v>2198.4609999999998</v>
      </c>
      <c r="E20" s="65">
        <v>2296.201</v>
      </c>
      <c r="F20" s="65">
        <v>162.31</v>
      </c>
      <c r="G20" s="65">
        <v>2055.779</v>
      </c>
      <c r="H20" s="65">
        <v>6712.7510000000002</v>
      </c>
      <c r="I20" s="66" t="s">
        <v>96</v>
      </c>
      <c r="J20" s="237"/>
    </row>
    <row r="21" spans="2:10" ht="18" customHeight="1" x14ac:dyDescent="0.35">
      <c r="B21" s="235"/>
      <c r="C21" s="96" t="s">
        <v>81</v>
      </c>
      <c r="D21" s="65">
        <v>1330.51</v>
      </c>
      <c r="E21" s="65">
        <v>1297.9190000000001</v>
      </c>
      <c r="F21" s="65">
        <v>126.10899999999999</v>
      </c>
      <c r="G21" s="65">
        <v>1739.008</v>
      </c>
      <c r="H21" s="65">
        <v>4493.5460000000003</v>
      </c>
      <c r="I21" s="97" t="s">
        <v>97</v>
      </c>
      <c r="J21" s="238"/>
    </row>
    <row r="22" spans="2:10" ht="18" customHeight="1" x14ac:dyDescent="0.35">
      <c r="B22" s="282" t="s">
        <v>85</v>
      </c>
      <c r="C22" s="283"/>
      <c r="D22" s="69">
        <v>18265.851999999999</v>
      </c>
      <c r="E22" s="69">
        <v>17797.379000000001</v>
      </c>
      <c r="F22" s="69">
        <v>1128.546</v>
      </c>
      <c r="G22" s="69">
        <v>26642.120999999999</v>
      </c>
      <c r="H22" s="69">
        <v>63833.898000000001</v>
      </c>
      <c r="I22" s="284" t="s">
        <v>98</v>
      </c>
      <c r="J22" s="285"/>
    </row>
    <row r="23" spans="2:10" x14ac:dyDescent="0.35">
      <c r="B23" s="233">
        <v>2022</v>
      </c>
      <c r="C23" s="64" t="s">
        <v>70</v>
      </c>
      <c r="D23" s="65">
        <v>2232.9119999999998</v>
      </c>
      <c r="E23" s="65">
        <v>2152.8649999999998</v>
      </c>
      <c r="F23" s="65">
        <v>157.69200000000001</v>
      </c>
      <c r="G23" s="65">
        <v>3131.6909999999998</v>
      </c>
      <c r="H23" s="65">
        <v>7675.16</v>
      </c>
      <c r="I23" s="66" t="s">
        <v>86</v>
      </c>
      <c r="J23" s="236">
        <v>2022</v>
      </c>
    </row>
    <row r="24" spans="2:10" x14ac:dyDescent="0.35">
      <c r="B24" s="234"/>
      <c r="C24" s="64" t="s">
        <v>71</v>
      </c>
      <c r="D24" s="65">
        <v>2001.3420000000001</v>
      </c>
      <c r="E24" s="65">
        <v>1804.066</v>
      </c>
      <c r="F24" s="65">
        <v>118.849</v>
      </c>
      <c r="G24" s="65">
        <v>2525.681</v>
      </c>
      <c r="H24" s="65">
        <v>6449.9380000000001</v>
      </c>
      <c r="I24" s="66" t="s">
        <v>87</v>
      </c>
      <c r="J24" s="237"/>
    </row>
    <row r="25" spans="2:10" x14ac:dyDescent="0.35">
      <c r="B25" s="234"/>
      <c r="C25" s="64" t="s">
        <v>72</v>
      </c>
      <c r="D25" s="65">
        <v>1813.6469999999999</v>
      </c>
      <c r="E25" s="65">
        <v>1672.0719999999999</v>
      </c>
      <c r="F25" s="65">
        <v>58.357999999999997</v>
      </c>
      <c r="G25" s="65">
        <v>2660.6779999999999</v>
      </c>
      <c r="H25" s="65">
        <v>6204.7550000000001</v>
      </c>
      <c r="I25" s="66" t="s">
        <v>88</v>
      </c>
      <c r="J25" s="237"/>
    </row>
    <row r="26" spans="2:10" x14ac:dyDescent="0.35">
      <c r="B26" s="234"/>
      <c r="C26" s="64" t="s">
        <v>73</v>
      </c>
      <c r="D26" s="65">
        <v>1928.4459999999999</v>
      </c>
      <c r="E26" s="65">
        <v>2620.837</v>
      </c>
      <c r="F26" s="65">
        <v>48.997</v>
      </c>
      <c r="G26" s="65">
        <v>3437.8510000000001</v>
      </c>
      <c r="H26" s="65">
        <v>8036.1310000000003</v>
      </c>
      <c r="I26" s="66" t="s">
        <v>89</v>
      </c>
      <c r="J26" s="237"/>
    </row>
    <row r="27" spans="2:10" x14ac:dyDescent="0.35">
      <c r="B27" s="234"/>
      <c r="C27" s="64" t="s">
        <v>74</v>
      </c>
      <c r="D27" s="65">
        <v>2504.8760000000002</v>
      </c>
      <c r="E27" s="65">
        <v>2116.799</v>
      </c>
      <c r="F27" s="65">
        <v>63.408999999999999</v>
      </c>
      <c r="G27" s="65">
        <v>2561.0250000000001</v>
      </c>
      <c r="H27" s="65">
        <v>7246.1090000000004</v>
      </c>
      <c r="I27" s="66" t="s">
        <v>90</v>
      </c>
      <c r="J27" s="237"/>
    </row>
    <row r="28" spans="2:10" x14ac:dyDescent="0.35">
      <c r="B28" s="234"/>
      <c r="C28" s="64" t="s">
        <v>75</v>
      </c>
      <c r="D28" s="65">
        <v>1590.8879999999999</v>
      </c>
      <c r="E28" s="65">
        <v>1200.827</v>
      </c>
      <c r="F28" s="65">
        <v>21.010999999999999</v>
      </c>
      <c r="G28" s="65">
        <v>1220.0609999999999</v>
      </c>
      <c r="H28" s="65">
        <v>4032.7869999999998</v>
      </c>
      <c r="I28" s="66" t="s">
        <v>91</v>
      </c>
      <c r="J28" s="237"/>
    </row>
    <row r="29" spans="2:10" x14ac:dyDescent="0.35">
      <c r="B29" s="234"/>
      <c r="C29" s="64" t="s">
        <v>76</v>
      </c>
      <c r="D29" s="65">
        <v>4061.0450000000001</v>
      </c>
      <c r="E29" s="65">
        <v>2048.4989999999998</v>
      </c>
      <c r="F29" s="65">
        <v>123.916</v>
      </c>
      <c r="G29" s="65">
        <v>4562.0940000000001</v>
      </c>
      <c r="H29" s="65">
        <v>10795.554</v>
      </c>
      <c r="I29" s="66" t="s">
        <v>92</v>
      </c>
      <c r="J29" s="237"/>
    </row>
    <row r="30" spans="2:10" x14ac:dyDescent="0.35">
      <c r="B30" s="234"/>
      <c r="C30" s="64" t="s">
        <v>77</v>
      </c>
      <c r="D30" s="65">
        <v>2443.9940000000001</v>
      </c>
      <c r="E30" s="65">
        <v>2083.2939999999999</v>
      </c>
      <c r="F30" s="65">
        <v>106.42100000000001</v>
      </c>
      <c r="G30" s="65">
        <v>2374.7289999999998</v>
      </c>
      <c r="H30" s="65">
        <v>7008.4380000000001</v>
      </c>
      <c r="I30" s="66" t="s">
        <v>93</v>
      </c>
      <c r="J30" s="237"/>
    </row>
    <row r="31" spans="2:10" x14ac:dyDescent="0.35">
      <c r="B31" s="234"/>
      <c r="C31" s="64" t="s">
        <v>78</v>
      </c>
      <c r="D31" s="65">
        <v>1255.6389999999999</v>
      </c>
      <c r="E31" s="65">
        <v>1586.6079999999999</v>
      </c>
      <c r="F31" s="65">
        <v>64.674000000000007</v>
      </c>
      <c r="G31" s="65">
        <v>1289.1179999999999</v>
      </c>
      <c r="H31" s="65">
        <v>4196.0389999999998</v>
      </c>
      <c r="I31" s="66" t="s">
        <v>94</v>
      </c>
      <c r="J31" s="237"/>
    </row>
    <row r="32" spans="2:10" x14ac:dyDescent="0.35">
      <c r="B32" s="234"/>
      <c r="C32" s="64" t="s">
        <v>79</v>
      </c>
      <c r="D32" s="65">
        <v>1786.0160000000001</v>
      </c>
      <c r="E32" s="65">
        <v>1652.671</v>
      </c>
      <c r="F32" s="65">
        <v>110.29</v>
      </c>
      <c r="G32" s="65">
        <v>1289.2090000000001</v>
      </c>
      <c r="H32" s="65">
        <v>4838.1859999999997</v>
      </c>
      <c r="I32" s="66" t="s">
        <v>95</v>
      </c>
      <c r="J32" s="237"/>
    </row>
    <row r="33" spans="2:10" x14ac:dyDescent="0.35">
      <c r="B33" s="234"/>
      <c r="C33" s="64" t="s">
        <v>80</v>
      </c>
      <c r="D33" s="65">
        <v>2438.0219999999999</v>
      </c>
      <c r="E33" s="65">
        <v>2271.665</v>
      </c>
      <c r="F33" s="65">
        <v>230.648</v>
      </c>
      <c r="G33" s="65">
        <v>2062.8139999999999</v>
      </c>
      <c r="H33" s="65">
        <v>7003.1490000000003</v>
      </c>
      <c r="I33" s="66" t="s">
        <v>96</v>
      </c>
      <c r="J33" s="237"/>
    </row>
    <row r="34" spans="2:10" x14ac:dyDescent="0.35">
      <c r="B34" s="235"/>
      <c r="C34" s="96" t="s">
        <v>81</v>
      </c>
      <c r="D34" s="65">
        <v>1471.7460000000001</v>
      </c>
      <c r="E34" s="65">
        <v>1575.009</v>
      </c>
      <c r="F34" s="65">
        <v>156</v>
      </c>
      <c r="G34" s="65">
        <v>1147.5</v>
      </c>
      <c r="H34" s="65">
        <v>4350.2550000000001</v>
      </c>
      <c r="I34" s="97" t="s">
        <v>97</v>
      </c>
      <c r="J34" s="238"/>
    </row>
    <row r="35" spans="2:10" x14ac:dyDescent="0.35">
      <c r="B35" s="282" t="s">
        <v>85</v>
      </c>
      <c r="C35" s="283"/>
      <c r="D35" s="69">
        <v>25528.573</v>
      </c>
      <c r="E35" s="69">
        <v>22785.212</v>
      </c>
      <c r="F35" s="69">
        <v>1260.2650000000001</v>
      </c>
      <c r="G35" s="69">
        <v>28262.451000000001</v>
      </c>
      <c r="H35" s="69">
        <v>77836.501000000004</v>
      </c>
      <c r="I35" s="284" t="s">
        <v>98</v>
      </c>
      <c r="J35" s="285"/>
    </row>
    <row r="36" spans="2:10" x14ac:dyDescent="0.35">
      <c r="B36" s="233">
        <v>2023</v>
      </c>
      <c r="C36" s="64" t="s">
        <v>70</v>
      </c>
      <c r="D36" s="65">
        <v>2118.9250000000002</v>
      </c>
      <c r="E36" s="65">
        <v>2126.076</v>
      </c>
      <c r="F36" s="65">
        <v>343.84300000000002</v>
      </c>
      <c r="G36" s="65">
        <v>1705.1120000000001</v>
      </c>
      <c r="H36" s="65">
        <v>6293.9560000000001</v>
      </c>
      <c r="I36" s="66" t="s">
        <v>86</v>
      </c>
      <c r="J36" s="236">
        <v>2023</v>
      </c>
    </row>
    <row r="37" spans="2:10" x14ac:dyDescent="0.35">
      <c r="B37" s="234"/>
      <c r="C37" s="64" t="s">
        <v>71</v>
      </c>
      <c r="D37" s="65">
        <v>1765.8810000000001</v>
      </c>
      <c r="E37" s="65">
        <v>1896.3409999999999</v>
      </c>
      <c r="F37" s="65">
        <v>271.678</v>
      </c>
      <c r="G37" s="65">
        <v>1673.7370000000001</v>
      </c>
      <c r="H37" s="65">
        <v>5607.6369999999997</v>
      </c>
      <c r="I37" s="66" t="s">
        <v>87</v>
      </c>
      <c r="J37" s="237"/>
    </row>
    <row r="38" spans="2:10" x14ac:dyDescent="0.35">
      <c r="B38" s="234"/>
      <c r="C38" s="64" t="s">
        <v>72</v>
      </c>
      <c r="D38" s="65">
        <v>1524.3889999999999</v>
      </c>
      <c r="E38" s="65">
        <v>2791.953</v>
      </c>
      <c r="F38" s="65">
        <v>287.12900000000002</v>
      </c>
      <c r="G38" s="65">
        <v>1898.6849999999999</v>
      </c>
      <c r="H38" s="65">
        <v>6502.1559999999999</v>
      </c>
      <c r="I38" s="66" t="s">
        <v>88</v>
      </c>
      <c r="J38" s="237"/>
    </row>
    <row r="39" spans="2:10" x14ac:dyDescent="0.35">
      <c r="B39" s="234"/>
      <c r="C39" s="64" t="s">
        <v>73</v>
      </c>
      <c r="D39" s="65">
        <v>1543.0050000000001</v>
      </c>
      <c r="E39" s="65">
        <v>2722.645</v>
      </c>
      <c r="F39" s="65">
        <v>248.77500000000001</v>
      </c>
      <c r="G39" s="65">
        <v>2366.8710000000001</v>
      </c>
      <c r="H39" s="65">
        <v>6881.2960000000003</v>
      </c>
      <c r="I39" s="66" t="s">
        <v>89</v>
      </c>
      <c r="J39" s="237"/>
    </row>
    <row r="40" spans="2:10" x14ac:dyDescent="0.35">
      <c r="B40" s="234"/>
      <c r="C40" s="64" t="s">
        <v>74</v>
      </c>
      <c r="D40" s="65">
        <v>1394.546</v>
      </c>
      <c r="E40" s="65">
        <v>2043.9290000000001</v>
      </c>
      <c r="F40" s="65">
        <v>267.48</v>
      </c>
      <c r="G40" s="65">
        <v>1297.0360000000001</v>
      </c>
      <c r="H40" s="65">
        <v>5002.991</v>
      </c>
      <c r="I40" s="66" t="s">
        <v>90</v>
      </c>
      <c r="J40" s="237"/>
    </row>
    <row r="41" spans="2:10" x14ac:dyDescent="0.35">
      <c r="B41" s="234"/>
      <c r="C41" s="64" t="s">
        <v>75</v>
      </c>
      <c r="D41" s="65">
        <v>2142.0070000000001</v>
      </c>
      <c r="E41" s="65">
        <v>3342.5</v>
      </c>
      <c r="F41" s="65">
        <v>462.47399999999999</v>
      </c>
      <c r="G41" s="65">
        <v>3600.8789999999999</v>
      </c>
      <c r="H41" s="65">
        <v>9547.86</v>
      </c>
      <c r="I41" s="66" t="s">
        <v>91</v>
      </c>
      <c r="J41" s="237"/>
    </row>
    <row r="42" spans="2:10" x14ac:dyDescent="0.35">
      <c r="B42" s="234"/>
      <c r="C42" s="64" t="s">
        <v>76</v>
      </c>
      <c r="D42" s="65">
        <v>2181.931</v>
      </c>
      <c r="E42" s="65">
        <v>3071.3020000000001</v>
      </c>
      <c r="F42" s="65">
        <v>435.01100000000002</v>
      </c>
      <c r="G42" s="65">
        <v>2430.0120000000002</v>
      </c>
      <c r="H42" s="65">
        <v>8118.2560000000003</v>
      </c>
      <c r="I42" s="66" t="s">
        <v>92</v>
      </c>
      <c r="J42" s="237"/>
    </row>
    <row r="43" spans="2:10" x14ac:dyDescent="0.35">
      <c r="B43" s="234"/>
      <c r="C43" s="64" t="s">
        <v>77</v>
      </c>
      <c r="D43" s="65">
        <v>1717.742</v>
      </c>
      <c r="E43" s="65">
        <v>2688.375</v>
      </c>
      <c r="F43" s="65">
        <v>420.25200000000001</v>
      </c>
      <c r="G43" s="65">
        <v>2159.5790000000002</v>
      </c>
      <c r="H43" s="65">
        <v>6985.9480000000003</v>
      </c>
      <c r="I43" s="66" t="s">
        <v>93</v>
      </c>
      <c r="J43" s="237"/>
    </row>
    <row r="44" spans="2:10" x14ac:dyDescent="0.35">
      <c r="B44" s="234"/>
      <c r="C44" s="64" t="s">
        <v>78</v>
      </c>
      <c r="D44" s="65">
        <v>1506.7660000000001</v>
      </c>
      <c r="E44" s="65">
        <v>2131.3020000000001</v>
      </c>
      <c r="F44" s="65">
        <v>530.32799999999997</v>
      </c>
      <c r="G44" s="65">
        <v>1905.431</v>
      </c>
      <c r="H44" s="65">
        <v>6073.8270000000002</v>
      </c>
      <c r="I44" s="66" t="s">
        <v>94</v>
      </c>
      <c r="J44" s="237"/>
    </row>
    <row r="45" spans="2:10" x14ac:dyDescent="0.35">
      <c r="B45" s="234"/>
      <c r="C45" s="64" t="s">
        <v>79</v>
      </c>
      <c r="D45" s="65">
        <v>1529.96</v>
      </c>
      <c r="E45" s="65">
        <v>2183.9670000000001</v>
      </c>
      <c r="F45" s="65">
        <v>483.94799999999998</v>
      </c>
      <c r="G45" s="65">
        <v>2004.144</v>
      </c>
      <c r="H45" s="65">
        <v>6202.0190000000002</v>
      </c>
      <c r="I45" s="66" t="s">
        <v>95</v>
      </c>
      <c r="J45" s="237"/>
    </row>
    <row r="46" spans="2:10" x14ac:dyDescent="0.35">
      <c r="B46" s="234"/>
      <c r="C46" s="64" t="s">
        <v>80</v>
      </c>
      <c r="D46" s="65">
        <v>2320.2510000000002</v>
      </c>
      <c r="E46" s="65">
        <v>2846.7669999999998</v>
      </c>
      <c r="F46" s="65">
        <v>498.48599999999999</v>
      </c>
      <c r="G46" s="65">
        <v>2554.8229999999999</v>
      </c>
      <c r="H46" s="65">
        <v>8220.3269999999993</v>
      </c>
      <c r="I46" s="66" t="s">
        <v>96</v>
      </c>
      <c r="J46" s="237"/>
    </row>
    <row r="47" spans="2:10" x14ac:dyDescent="0.35">
      <c r="B47" s="235"/>
      <c r="C47" s="96" t="s">
        <v>81</v>
      </c>
      <c r="D47" s="65">
        <v>2134.8829999999998</v>
      </c>
      <c r="E47" s="65">
        <v>2017.2819999999999</v>
      </c>
      <c r="F47" s="65">
        <v>446.45600000000002</v>
      </c>
      <c r="G47" s="65">
        <v>1885.4680000000001</v>
      </c>
      <c r="H47" s="65">
        <v>6484.0889999999999</v>
      </c>
      <c r="I47" s="97" t="s">
        <v>97</v>
      </c>
      <c r="J47" s="238"/>
    </row>
    <row r="48" spans="2:10" x14ac:dyDescent="0.35">
      <c r="B48" s="282" t="s">
        <v>85</v>
      </c>
      <c r="C48" s="283"/>
      <c r="D48" s="69">
        <v>21880.286</v>
      </c>
      <c r="E48" s="69">
        <v>29862.438999999998</v>
      </c>
      <c r="F48" s="69">
        <v>4695.8599999999997</v>
      </c>
      <c r="G48" s="69">
        <v>25481.776999999998</v>
      </c>
      <c r="H48" s="69">
        <v>81920.361999999994</v>
      </c>
      <c r="I48" s="284" t="s">
        <v>98</v>
      </c>
      <c r="J48" s="285"/>
    </row>
    <row r="49" spans="2:10" x14ac:dyDescent="0.35">
      <c r="B49" s="233">
        <v>2024</v>
      </c>
      <c r="C49" s="64" t="s">
        <v>70</v>
      </c>
      <c r="D49" s="65">
        <v>2287.4989999999998</v>
      </c>
      <c r="E49" s="65">
        <v>2426.7979999999998</v>
      </c>
      <c r="F49" s="65">
        <v>508.92700000000002</v>
      </c>
      <c r="G49" s="65">
        <v>2557.1410000000001</v>
      </c>
      <c r="H49" s="65">
        <v>7780.3649999999998</v>
      </c>
      <c r="I49" s="66" t="s">
        <v>86</v>
      </c>
      <c r="J49" s="236">
        <v>2024</v>
      </c>
    </row>
    <row r="50" spans="2:10" x14ac:dyDescent="0.35">
      <c r="B50" s="234"/>
      <c r="C50" s="64" t="s">
        <v>71</v>
      </c>
      <c r="D50" s="65">
        <v>2216.0619999999999</v>
      </c>
      <c r="E50" s="65">
        <v>2534.203</v>
      </c>
      <c r="F50" s="65">
        <v>477.42899999999997</v>
      </c>
      <c r="G50" s="65">
        <v>2515.0079999999998</v>
      </c>
      <c r="H50" s="65">
        <v>7742.7020000000002</v>
      </c>
      <c r="I50" s="66" t="s">
        <v>87</v>
      </c>
      <c r="J50" s="237"/>
    </row>
    <row r="51" spans="2:10" x14ac:dyDescent="0.35">
      <c r="B51" s="234"/>
      <c r="C51" s="64" t="s">
        <v>72</v>
      </c>
      <c r="D51" s="65">
        <v>1998.8389999999999</v>
      </c>
      <c r="E51" s="65">
        <v>2193.4479999999999</v>
      </c>
      <c r="F51" s="65">
        <v>319.137</v>
      </c>
      <c r="G51" s="65">
        <v>2291.1550000000002</v>
      </c>
      <c r="H51" s="65">
        <v>6802.5789999999997</v>
      </c>
      <c r="I51" s="66" t="s">
        <v>88</v>
      </c>
      <c r="J51" s="237"/>
    </row>
    <row r="52" spans="2:10" x14ac:dyDescent="0.35">
      <c r="B52" s="234"/>
      <c r="C52" s="64" t="s">
        <v>73</v>
      </c>
      <c r="D52" s="65">
        <v>1930.1990000000001</v>
      </c>
      <c r="E52" s="65">
        <v>2144.835</v>
      </c>
      <c r="F52" s="65">
        <v>265.86599999999999</v>
      </c>
      <c r="G52" s="65">
        <v>2859.502</v>
      </c>
      <c r="H52" s="65">
        <v>7200.402</v>
      </c>
      <c r="I52" s="66" t="s">
        <v>89</v>
      </c>
      <c r="J52" s="237"/>
    </row>
    <row r="53" spans="2:10" x14ac:dyDescent="0.35">
      <c r="B53" s="234"/>
      <c r="C53" s="64" t="s">
        <v>74</v>
      </c>
      <c r="D53" s="65">
        <v>1696.1949999999999</v>
      </c>
      <c r="E53" s="65">
        <v>1853.3679999999999</v>
      </c>
      <c r="F53" s="65">
        <v>290.82400000000001</v>
      </c>
      <c r="G53" s="65">
        <v>2135.6109999999999</v>
      </c>
      <c r="H53" s="65">
        <v>5975.9979999999996</v>
      </c>
      <c r="I53" s="66" t="s">
        <v>90</v>
      </c>
      <c r="J53" s="237"/>
    </row>
    <row r="54" spans="2:10" x14ac:dyDescent="0.35">
      <c r="B54" s="234"/>
      <c r="C54" s="64" t="s">
        <v>75</v>
      </c>
      <c r="D54" s="65">
        <v>2099.5830000000001</v>
      </c>
      <c r="E54" s="65">
        <v>2748.7240000000002</v>
      </c>
      <c r="F54" s="65">
        <v>402.86799999999999</v>
      </c>
      <c r="G54" s="65">
        <v>4361.9340000000002</v>
      </c>
      <c r="H54" s="65">
        <v>9613.1090000000004</v>
      </c>
      <c r="I54" s="66" t="s">
        <v>91</v>
      </c>
      <c r="J54" s="237"/>
    </row>
    <row r="55" spans="2:10" x14ac:dyDescent="0.35">
      <c r="B55" s="234"/>
      <c r="C55" s="64" t="s">
        <v>76</v>
      </c>
      <c r="D55" s="65">
        <v>2022.4069999999999</v>
      </c>
      <c r="E55" s="65">
        <v>2956.7240000000002</v>
      </c>
      <c r="F55" s="65">
        <v>83.980999999999995</v>
      </c>
      <c r="G55" s="65">
        <v>2999.75</v>
      </c>
      <c r="H55" s="65">
        <v>8062.8620000000001</v>
      </c>
      <c r="I55" s="66" t="s">
        <v>92</v>
      </c>
      <c r="J55" s="237"/>
    </row>
    <row r="56" spans="2:10" x14ac:dyDescent="0.35">
      <c r="B56" s="234"/>
      <c r="C56" s="64" t="s">
        <v>77</v>
      </c>
      <c r="D56" s="65">
        <v>1644.598</v>
      </c>
      <c r="E56" s="65">
        <v>2221.9050000000002</v>
      </c>
      <c r="F56" s="65">
        <v>254.83699999999999</v>
      </c>
      <c r="G56" s="65">
        <v>2326.623</v>
      </c>
      <c r="H56" s="65">
        <v>6447.9629999999997</v>
      </c>
      <c r="I56" s="66" t="s">
        <v>93</v>
      </c>
      <c r="J56" s="237"/>
    </row>
    <row r="57" spans="2:10" x14ac:dyDescent="0.35">
      <c r="B57" s="234"/>
      <c r="C57" s="64" t="s">
        <v>78</v>
      </c>
      <c r="D57" s="65">
        <v>1238.0719999999999</v>
      </c>
      <c r="E57" s="65">
        <v>1881.384</v>
      </c>
      <c r="F57" s="65">
        <v>416.11200000000002</v>
      </c>
      <c r="G57" s="65">
        <v>2371.8989999999999</v>
      </c>
      <c r="H57" s="65">
        <v>5907.4669999999996</v>
      </c>
      <c r="I57" s="66" t="s">
        <v>94</v>
      </c>
      <c r="J57" s="237"/>
    </row>
    <row r="58" spans="2:10" x14ac:dyDescent="0.35">
      <c r="B58" s="234"/>
      <c r="C58" s="64" t="s">
        <v>79</v>
      </c>
      <c r="D58" s="65">
        <v>1297.422</v>
      </c>
      <c r="E58" s="65">
        <v>1942.421</v>
      </c>
      <c r="F58" s="65">
        <v>518.58699999999999</v>
      </c>
      <c r="G58" s="65">
        <v>2035.335</v>
      </c>
      <c r="H58" s="65">
        <v>5793.7650000000003</v>
      </c>
      <c r="I58" s="66" t="s">
        <v>95</v>
      </c>
      <c r="J58" s="237"/>
    </row>
    <row r="59" spans="2:10" x14ac:dyDescent="0.35">
      <c r="B59" s="234"/>
      <c r="C59" s="64" t="s">
        <v>80</v>
      </c>
      <c r="D59" s="65">
        <v>1628.787</v>
      </c>
      <c r="E59" s="65">
        <v>2448.0749999999998</v>
      </c>
      <c r="F59" s="65">
        <v>732.23400000000004</v>
      </c>
      <c r="G59" s="65">
        <v>3097.63</v>
      </c>
      <c r="H59" s="65">
        <v>7906.7259999999997</v>
      </c>
      <c r="I59" s="66" t="s">
        <v>96</v>
      </c>
      <c r="J59" s="237"/>
    </row>
    <row r="60" spans="2:10" x14ac:dyDescent="0.35">
      <c r="B60" s="235"/>
      <c r="C60" s="96" t="s">
        <v>81</v>
      </c>
      <c r="D60" s="65">
        <v>1373.826</v>
      </c>
      <c r="E60" s="65">
        <v>2220.683</v>
      </c>
      <c r="F60" s="65">
        <v>608.28599999999994</v>
      </c>
      <c r="G60" s="65">
        <v>2720.6260000000002</v>
      </c>
      <c r="H60" s="65">
        <v>6923.4210000000003</v>
      </c>
      <c r="I60" s="97" t="s">
        <v>97</v>
      </c>
      <c r="J60" s="238"/>
    </row>
    <row r="61" spans="2:10" x14ac:dyDescent="0.35">
      <c r="B61" s="282" t="s">
        <v>85</v>
      </c>
      <c r="C61" s="283"/>
      <c r="D61" s="69">
        <v>21433.489000000001</v>
      </c>
      <c r="E61" s="69">
        <v>27572.567999999999</v>
      </c>
      <c r="F61" s="69">
        <v>4879.0879999999997</v>
      </c>
      <c r="G61" s="69">
        <v>32272.214</v>
      </c>
      <c r="H61" s="69">
        <v>86157.358999999997</v>
      </c>
      <c r="I61" s="284" t="s">
        <v>98</v>
      </c>
      <c r="J61" s="285"/>
    </row>
    <row r="62" spans="2:10" x14ac:dyDescent="0.35">
      <c r="B62" s="233">
        <v>2025</v>
      </c>
      <c r="C62" s="64" t="s">
        <v>70</v>
      </c>
      <c r="D62" s="65">
        <v>1893.3320000000001</v>
      </c>
      <c r="E62" s="65">
        <v>2071.1480000000001</v>
      </c>
      <c r="F62" s="65">
        <v>715.46299999999997</v>
      </c>
      <c r="G62" s="65">
        <v>3696.8719999999998</v>
      </c>
      <c r="H62" s="65">
        <v>8376.8150000000005</v>
      </c>
      <c r="I62" s="66" t="s">
        <v>86</v>
      </c>
      <c r="J62" s="236">
        <v>2025</v>
      </c>
    </row>
    <row r="63" spans="2:10" x14ac:dyDescent="0.35">
      <c r="B63" s="234"/>
      <c r="C63" s="64" t="s">
        <v>71</v>
      </c>
      <c r="D63" s="65">
        <v>1750.075</v>
      </c>
      <c r="E63" s="65">
        <v>1806.4349999999999</v>
      </c>
      <c r="F63" s="65">
        <v>520.08900000000006</v>
      </c>
      <c r="G63" s="65">
        <v>3110.0010000000002</v>
      </c>
      <c r="H63" s="65">
        <v>7186.6</v>
      </c>
      <c r="I63" s="66" t="s">
        <v>87</v>
      </c>
      <c r="J63" s="237"/>
    </row>
    <row r="64" spans="2:10" x14ac:dyDescent="0.35">
      <c r="B64" s="234"/>
      <c r="C64" s="64" t="s">
        <v>72</v>
      </c>
      <c r="D64" s="65">
        <v>1734.989</v>
      </c>
      <c r="E64" s="65">
        <v>2707.0920000000001</v>
      </c>
      <c r="F64" s="65">
        <v>342.22699999999998</v>
      </c>
      <c r="G64" s="65">
        <v>4507.0569999999998</v>
      </c>
      <c r="H64" s="65">
        <v>9291.3649999999998</v>
      </c>
      <c r="I64" s="66" t="s">
        <v>88</v>
      </c>
      <c r="J64" s="237"/>
    </row>
    <row r="65" spans="2:10" x14ac:dyDescent="0.35">
      <c r="B65" s="234"/>
      <c r="C65" s="64" t="s">
        <v>73</v>
      </c>
      <c r="D65" s="65">
        <v>1310.223</v>
      </c>
      <c r="E65" s="65">
        <v>1839.923</v>
      </c>
      <c r="F65" s="65">
        <v>510.733</v>
      </c>
      <c r="G65" s="65">
        <v>2904.8620000000001</v>
      </c>
      <c r="H65" s="65">
        <v>6565.741</v>
      </c>
      <c r="I65" s="66" t="s">
        <v>89</v>
      </c>
      <c r="J65" s="237"/>
    </row>
    <row r="66" spans="2:10" x14ac:dyDescent="0.35">
      <c r="B66" s="234"/>
      <c r="C66" s="64" t="s">
        <v>74</v>
      </c>
      <c r="D66" s="65">
        <v>1786.569</v>
      </c>
      <c r="E66" s="65">
        <v>1895.5419999999999</v>
      </c>
      <c r="F66" s="65">
        <v>630.048</v>
      </c>
      <c r="G66" s="65">
        <v>3021.1750000000002</v>
      </c>
      <c r="H66" s="65">
        <v>7333.3339999999998</v>
      </c>
      <c r="I66" s="66" t="s">
        <v>90</v>
      </c>
      <c r="J66" s="237"/>
    </row>
    <row r="67" spans="2:10" x14ac:dyDescent="0.35">
      <c r="B67" s="234"/>
      <c r="C67" s="64" t="s">
        <v>75</v>
      </c>
      <c r="D67" s="65">
        <v>1556.2919999999999</v>
      </c>
      <c r="E67" s="65">
        <v>1647.973</v>
      </c>
      <c r="F67" s="65">
        <v>722.81700000000001</v>
      </c>
      <c r="G67" s="65">
        <v>3859.8180000000002</v>
      </c>
      <c r="H67" s="65">
        <v>7786.9</v>
      </c>
      <c r="I67" s="66" t="s">
        <v>91</v>
      </c>
      <c r="J67" s="237"/>
    </row>
    <row r="68" spans="2:10" x14ac:dyDescent="0.35">
      <c r="B68" s="234"/>
      <c r="C68" s="64" t="s">
        <v>76</v>
      </c>
      <c r="D68" s="65">
        <v>2098.2359999999999</v>
      </c>
      <c r="E68" s="65">
        <v>2134.7469999999998</v>
      </c>
      <c r="F68" s="65">
        <v>906.4</v>
      </c>
      <c r="G68" s="65">
        <v>3554.1379999999999</v>
      </c>
      <c r="H68" s="65">
        <v>8693.5210000000006</v>
      </c>
      <c r="I68" s="66" t="s">
        <v>92</v>
      </c>
      <c r="J68" s="237"/>
    </row>
    <row r="69" spans="2:10" x14ac:dyDescent="0.35">
      <c r="B69" s="234"/>
      <c r="C69" s="64" t="s">
        <v>77</v>
      </c>
      <c r="D69" s="65">
        <v>2308.9490000000001</v>
      </c>
      <c r="E69" s="65">
        <v>1880.346</v>
      </c>
      <c r="F69" s="65">
        <v>781.82899999999995</v>
      </c>
      <c r="G69" s="65">
        <v>3213.7910000000002</v>
      </c>
      <c r="H69" s="65">
        <v>8184.915</v>
      </c>
      <c r="I69" s="66" t="s">
        <v>93</v>
      </c>
      <c r="J69" s="237"/>
    </row>
    <row r="70" spans="2:10" x14ac:dyDescent="0.35">
      <c r="B70" s="234"/>
      <c r="C70" s="64" t="s">
        <v>78</v>
      </c>
      <c r="D70" s="65">
        <v>1666.104</v>
      </c>
      <c r="E70" s="65">
        <v>1825.9390000000001</v>
      </c>
      <c r="F70" s="65">
        <v>546.02700000000004</v>
      </c>
      <c r="G70" s="65">
        <v>2474.866</v>
      </c>
      <c r="H70" s="65">
        <v>6512.9359999999997</v>
      </c>
      <c r="I70" s="66" t="s">
        <v>94</v>
      </c>
      <c r="J70" s="237"/>
    </row>
    <row r="71" spans="2:10" x14ac:dyDescent="0.35">
      <c r="B71" s="234"/>
      <c r="C71" s="64" t="s">
        <v>79</v>
      </c>
      <c r="D71" s="65">
        <v>1520.8530000000001</v>
      </c>
      <c r="E71" s="65">
        <v>2154.1930000000002</v>
      </c>
      <c r="F71" s="65">
        <v>608.21</v>
      </c>
      <c r="G71" s="65">
        <v>3078.1089999999999</v>
      </c>
      <c r="H71" s="65">
        <v>7361.3649999999998</v>
      </c>
      <c r="I71" s="66" t="s">
        <v>95</v>
      </c>
      <c r="J71" s="237"/>
    </row>
    <row r="72" spans="2:10" x14ac:dyDescent="0.35">
      <c r="B72" s="234"/>
      <c r="C72" s="64" t="s">
        <v>80</v>
      </c>
      <c r="D72" s="65">
        <v>1920.64</v>
      </c>
      <c r="E72" s="65">
        <v>2354.3380000000002</v>
      </c>
      <c r="F72" s="65">
        <v>659.755</v>
      </c>
      <c r="G72" s="65">
        <v>3701.0619999999999</v>
      </c>
      <c r="H72" s="65">
        <v>8635.7950000000001</v>
      </c>
      <c r="I72" s="66" t="s">
        <v>96</v>
      </c>
      <c r="J72" s="237"/>
    </row>
    <row r="73" spans="2:10" x14ac:dyDescent="0.35">
      <c r="B73" s="235"/>
      <c r="C73" s="96" t="s">
        <v>81</v>
      </c>
      <c r="D73" s="65">
        <v>1883.453</v>
      </c>
      <c r="E73" s="65">
        <v>2133.6849999999999</v>
      </c>
      <c r="F73" s="65">
        <v>622.59900000000005</v>
      </c>
      <c r="G73" s="65">
        <v>2754.489</v>
      </c>
      <c r="H73" s="65">
        <v>7394.2259999999997</v>
      </c>
      <c r="I73" s="97" t="s">
        <v>97</v>
      </c>
      <c r="J73" s="238"/>
    </row>
    <row r="74" spans="2:10" x14ac:dyDescent="0.35">
      <c r="B74" s="282" t="s">
        <v>85</v>
      </c>
      <c r="C74" s="283"/>
      <c r="D74" s="69">
        <v>21429.715</v>
      </c>
      <c r="E74" s="69">
        <v>24451.361000000001</v>
      </c>
      <c r="F74" s="69">
        <v>7566.1970000000001</v>
      </c>
      <c r="G74" s="69">
        <v>39876.239999999998</v>
      </c>
      <c r="H74" s="69">
        <v>93323.513000000006</v>
      </c>
      <c r="I74" s="284" t="s">
        <v>98</v>
      </c>
      <c r="J74" s="285"/>
    </row>
  </sheetData>
  <mergeCells count="22">
    <mergeCell ref="B62:B73"/>
    <mergeCell ref="J62:J73"/>
    <mergeCell ref="B74:C74"/>
    <mergeCell ref="I74:J74"/>
    <mergeCell ref="A2:E2"/>
    <mergeCell ref="A3:E3"/>
    <mergeCell ref="B35:C35"/>
    <mergeCell ref="I35:J35"/>
    <mergeCell ref="B10:B21"/>
    <mergeCell ref="J10:J21"/>
    <mergeCell ref="B22:C22"/>
    <mergeCell ref="I22:J22"/>
    <mergeCell ref="B23:B34"/>
    <mergeCell ref="J23:J34"/>
    <mergeCell ref="B49:B60"/>
    <mergeCell ref="J49:J60"/>
    <mergeCell ref="B61:C61"/>
    <mergeCell ref="I61:J61"/>
    <mergeCell ref="B36:B47"/>
    <mergeCell ref="J36:J47"/>
    <mergeCell ref="B48:C48"/>
    <mergeCell ref="I48:J48"/>
  </mergeCells>
  <pageMargins left="0.7" right="0.7" top="0.75" bottom="0.75" header="0.3" footer="0.3"/>
  <pageSetup orientation="portrait" r:id="rId1"/>
  <headerFooter>
    <oddFooter>&amp;C&amp;1#&amp;"Calibri"&amp;11&amp;Kffa500CONFIDENTIAL▮▮مقيّد</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934F-43A0-4808-80B3-11E4A8A68CCF}">
  <sheetPr>
    <tabColor rgb="FF00B0F0"/>
  </sheetPr>
  <dimension ref="A1:L73"/>
  <sheetViews>
    <sheetView showGridLines="0" zoomScale="70" zoomScaleNormal="70" workbookViewId="0">
      <selection activeCell="H82" sqref="H82"/>
    </sheetView>
  </sheetViews>
  <sheetFormatPr defaultRowHeight="14.5" x14ac:dyDescent="0.35"/>
  <cols>
    <col min="3" max="3" width="11.1796875" bestFit="1" customWidth="1"/>
    <col min="4" max="9" width="26.1796875" customWidth="1"/>
    <col min="10" max="10" width="26.81640625" customWidth="1"/>
    <col min="11" max="11" width="12.81640625" customWidth="1"/>
  </cols>
  <sheetData>
    <row r="1" spans="1:12" x14ac:dyDescent="0.35">
      <c r="A1" s="9" t="s">
        <v>524</v>
      </c>
    </row>
    <row r="2" spans="1:12" x14ac:dyDescent="0.35">
      <c r="A2" s="232" t="s">
        <v>448</v>
      </c>
      <c r="B2" s="232"/>
      <c r="C2" s="232"/>
      <c r="D2" s="232"/>
      <c r="E2" s="232"/>
    </row>
    <row r="3" spans="1:12" x14ac:dyDescent="0.35">
      <c r="A3" s="232" t="s">
        <v>449</v>
      </c>
      <c r="B3" s="232"/>
      <c r="C3" s="232"/>
      <c r="D3" s="232"/>
      <c r="E3" s="232"/>
    </row>
    <row r="4" spans="1:12" x14ac:dyDescent="0.35">
      <c r="A4" s="9"/>
      <c r="B4" s="192"/>
      <c r="C4" s="192"/>
      <c r="D4" s="192"/>
      <c r="E4" s="192"/>
    </row>
    <row r="6" spans="1:12" ht="15.5" x14ac:dyDescent="0.35">
      <c r="A6" s="10" t="s">
        <v>459</v>
      </c>
      <c r="B6" s="30" t="s">
        <v>476</v>
      </c>
      <c r="C6" s="13"/>
      <c r="D6" s="13"/>
      <c r="E6" s="13"/>
      <c r="F6" s="13"/>
      <c r="G6" s="13"/>
      <c r="H6" s="30"/>
      <c r="I6" s="30"/>
      <c r="J6" s="30"/>
      <c r="K6" s="30"/>
      <c r="L6" s="31" t="s">
        <v>477</v>
      </c>
    </row>
    <row r="8" spans="1:12" ht="58" x14ac:dyDescent="0.35">
      <c r="B8" s="59"/>
      <c r="C8" s="61" t="s">
        <v>99</v>
      </c>
      <c r="D8" s="62" t="s">
        <v>469</v>
      </c>
      <c r="E8" s="62" t="s">
        <v>470</v>
      </c>
      <c r="F8" s="62" t="s">
        <v>471</v>
      </c>
      <c r="G8" s="62" t="s">
        <v>472</v>
      </c>
      <c r="H8" s="62" t="s">
        <v>473</v>
      </c>
      <c r="I8" s="201" t="s">
        <v>474</v>
      </c>
      <c r="J8" s="201" t="s">
        <v>475</v>
      </c>
      <c r="K8" s="63" t="s">
        <v>100</v>
      </c>
      <c r="L8" s="59"/>
    </row>
    <row r="9" spans="1:12" x14ac:dyDescent="0.35">
      <c r="B9" s="234">
        <v>2021</v>
      </c>
      <c r="C9" s="64" t="s">
        <v>70</v>
      </c>
      <c r="D9" s="65">
        <v>1950</v>
      </c>
      <c r="E9" s="65">
        <v>496</v>
      </c>
      <c r="F9" s="65">
        <v>2227</v>
      </c>
      <c r="G9" s="65">
        <v>2122</v>
      </c>
      <c r="H9" s="65">
        <v>2082</v>
      </c>
      <c r="I9" s="65">
        <v>71</v>
      </c>
      <c r="J9" s="65">
        <v>8947</v>
      </c>
      <c r="K9" s="66" t="s">
        <v>86</v>
      </c>
      <c r="L9" s="237">
        <v>2021</v>
      </c>
    </row>
    <row r="10" spans="1:12" x14ac:dyDescent="0.35">
      <c r="B10" s="234"/>
      <c r="C10" s="64" t="s">
        <v>71</v>
      </c>
      <c r="D10" s="65">
        <v>1477</v>
      </c>
      <c r="E10" s="65">
        <v>402</v>
      </c>
      <c r="F10" s="65">
        <v>1624</v>
      </c>
      <c r="G10" s="65">
        <v>1520</v>
      </c>
      <c r="H10" s="65">
        <v>1602</v>
      </c>
      <c r="I10" s="65">
        <v>57</v>
      </c>
      <c r="J10" s="65">
        <v>6681</v>
      </c>
      <c r="K10" s="66" t="s">
        <v>87</v>
      </c>
      <c r="L10" s="237"/>
    </row>
    <row r="11" spans="1:12" x14ac:dyDescent="0.35">
      <c r="B11" s="234"/>
      <c r="C11" s="64" t="s">
        <v>72</v>
      </c>
      <c r="D11" s="65">
        <v>1474</v>
      </c>
      <c r="E11" s="65">
        <v>425</v>
      </c>
      <c r="F11" s="65">
        <v>1580</v>
      </c>
      <c r="G11" s="65">
        <v>1514</v>
      </c>
      <c r="H11" s="65">
        <v>1624</v>
      </c>
      <c r="I11" s="65">
        <v>65</v>
      </c>
      <c r="J11" s="65">
        <v>6682</v>
      </c>
      <c r="K11" s="66" t="s">
        <v>88</v>
      </c>
      <c r="L11" s="237"/>
    </row>
    <row r="12" spans="1:12" x14ac:dyDescent="0.35">
      <c r="B12" s="234"/>
      <c r="C12" s="64" t="s">
        <v>73</v>
      </c>
      <c r="D12" s="65">
        <v>1538</v>
      </c>
      <c r="E12" s="65">
        <v>342</v>
      </c>
      <c r="F12" s="65">
        <v>1609</v>
      </c>
      <c r="G12" s="65">
        <v>1658</v>
      </c>
      <c r="H12" s="65">
        <v>1749</v>
      </c>
      <c r="I12" s="65">
        <v>54</v>
      </c>
      <c r="J12" s="65">
        <v>6950</v>
      </c>
      <c r="K12" s="66" t="s">
        <v>89</v>
      </c>
      <c r="L12" s="237"/>
    </row>
    <row r="13" spans="1:12" x14ac:dyDescent="0.35">
      <c r="B13" s="234"/>
      <c r="C13" s="64" t="s">
        <v>74</v>
      </c>
      <c r="D13" s="65">
        <v>2258</v>
      </c>
      <c r="E13" s="65">
        <v>559</v>
      </c>
      <c r="F13" s="65">
        <v>3102</v>
      </c>
      <c r="G13" s="65">
        <v>2891</v>
      </c>
      <c r="H13" s="65">
        <v>2529</v>
      </c>
      <c r="I13" s="65">
        <v>109</v>
      </c>
      <c r="J13" s="65">
        <v>11448</v>
      </c>
      <c r="K13" s="66" t="s">
        <v>90</v>
      </c>
      <c r="L13" s="237"/>
    </row>
    <row r="14" spans="1:12" x14ac:dyDescent="0.35">
      <c r="B14" s="234"/>
      <c r="C14" s="64" t="s">
        <v>75</v>
      </c>
      <c r="D14" s="65">
        <v>1467</v>
      </c>
      <c r="E14" s="65">
        <v>430</v>
      </c>
      <c r="F14" s="65">
        <v>1717</v>
      </c>
      <c r="G14" s="65">
        <v>1781</v>
      </c>
      <c r="H14" s="65">
        <v>1531</v>
      </c>
      <c r="I14" s="65">
        <v>105</v>
      </c>
      <c r="J14" s="65">
        <v>7031</v>
      </c>
      <c r="K14" s="66" t="s">
        <v>91</v>
      </c>
      <c r="L14" s="237"/>
    </row>
    <row r="15" spans="1:12" x14ac:dyDescent="0.35">
      <c r="B15" s="234"/>
      <c r="C15" s="64" t="s">
        <v>76</v>
      </c>
      <c r="D15" s="65">
        <v>2350</v>
      </c>
      <c r="E15" s="65">
        <v>941</v>
      </c>
      <c r="F15" s="65">
        <v>3812</v>
      </c>
      <c r="G15" s="65">
        <v>3164</v>
      </c>
      <c r="H15" s="65">
        <v>3180</v>
      </c>
      <c r="I15" s="65">
        <v>470</v>
      </c>
      <c r="J15" s="65">
        <v>13917</v>
      </c>
      <c r="K15" s="66" t="s">
        <v>92</v>
      </c>
      <c r="L15" s="237"/>
    </row>
    <row r="16" spans="1:12" x14ac:dyDescent="0.35">
      <c r="B16" s="234"/>
      <c r="C16" s="64" t="s">
        <v>77</v>
      </c>
      <c r="D16" s="65">
        <v>1877</v>
      </c>
      <c r="E16" s="65">
        <v>732</v>
      </c>
      <c r="F16" s="65">
        <v>1860</v>
      </c>
      <c r="G16" s="65">
        <v>2047</v>
      </c>
      <c r="H16" s="65">
        <v>1944</v>
      </c>
      <c r="I16" s="65">
        <v>418</v>
      </c>
      <c r="J16" s="65">
        <v>8878</v>
      </c>
      <c r="K16" s="66" t="s">
        <v>93</v>
      </c>
      <c r="L16" s="237"/>
    </row>
    <row r="17" spans="2:12" x14ac:dyDescent="0.35">
      <c r="B17" s="234"/>
      <c r="C17" s="64" t="s">
        <v>78</v>
      </c>
      <c r="D17" s="65">
        <v>1451</v>
      </c>
      <c r="E17" s="65">
        <v>336</v>
      </c>
      <c r="F17" s="65">
        <v>1549</v>
      </c>
      <c r="G17" s="65">
        <v>1559</v>
      </c>
      <c r="H17" s="65">
        <v>1094</v>
      </c>
      <c r="I17" s="65">
        <v>156</v>
      </c>
      <c r="J17" s="65">
        <v>6145</v>
      </c>
      <c r="K17" s="66" t="s">
        <v>94</v>
      </c>
      <c r="L17" s="237"/>
    </row>
    <row r="18" spans="2:12" x14ac:dyDescent="0.35">
      <c r="B18" s="234"/>
      <c r="C18" s="64" t="s">
        <v>79</v>
      </c>
      <c r="D18" s="65">
        <v>1862</v>
      </c>
      <c r="E18" s="65">
        <v>420</v>
      </c>
      <c r="F18" s="65">
        <v>2280</v>
      </c>
      <c r="G18" s="65">
        <v>1989</v>
      </c>
      <c r="H18" s="65">
        <v>835</v>
      </c>
      <c r="I18" s="65">
        <v>161</v>
      </c>
      <c r="J18" s="65">
        <v>7546</v>
      </c>
      <c r="K18" s="66" t="s">
        <v>95</v>
      </c>
      <c r="L18" s="237"/>
    </row>
    <row r="19" spans="2:12" x14ac:dyDescent="0.35">
      <c r="B19" s="234"/>
      <c r="C19" s="64" t="s">
        <v>80</v>
      </c>
      <c r="D19" s="65">
        <v>2794</v>
      </c>
      <c r="E19" s="65">
        <v>675</v>
      </c>
      <c r="F19" s="65">
        <v>2958</v>
      </c>
      <c r="G19" s="65">
        <v>2758</v>
      </c>
      <c r="H19" s="65">
        <v>1412</v>
      </c>
      <c r="I19" s="65">
        <v>420</v>
      </c>
      <c r="J19" s="65">
        <v>11018</v>
      </c>
      <c r="K19" s="66" t="s">
        <v>96</v>
      </c>
      <c r="L19" s="237"/>
    </row>
    <row r="20" spans="2:12" x14ac:dyDescent="0.35">
      <c r="B20" s="235"/>
      <c r="C20" s="96" t="s">
        <v>81</v>
      </c>
      <c r="D20" s="65">
        <v>1569</v>
      </c>
      <c r="E20" s="65">
        <v>518</v>
      </c>
      <c r="F20" s="65">
        <v>1736</v>
      </c>
      <c r="G20" s="65">
        <v>1955</v>
      </c>
      <c r="H20" s="65">
        <v>963</v>
      </c>
      <c r="I20" s="191">
        <v>198</v>
      </c>
      <c r="J20" s="191">
        <v>6939</v>
      </c>
      <c r="K20" s="97" t="s">
        <v>97</v>
      </c>
      <c r="L20" s="238"/>
    </row>
    <row r="21" spans="2:12" x14ac:dyDescent="0.35">
      <c r="B21" s="282" t="s">
        <v>85</v>
      </c>
      <c r="C21" s="283"/>
      <c r="D21" s="69">
        <f>SUM(D9:D20)</f>
        <v>22067</v>
      </c>
      <c r="E21" s="69">
        <f t="shared" ref="E21:J21" si="0">SUM(E9:E20)</f>
        <v>6276</v>
      </c>
      <c r="F21" s="69">
        <f t="shared" si="0"/>
        <v>26054</v>
      </c>
      <c r="G21" s="69">
        <f t="shared" si="0"/>
        <v>24958</v>
      </c>
      <c r="H21" s="69">
        <f t="shared" si="0"/>
        <v>20545</v>
      </c>
      <c r="I21" s="69">
        <f t="shared" si="0"/>
        <v>2284</v>
      </c>
      <c r="J21" s="69">
        <f t="shared" si="0"/>
        <v>102182</v>
      </c>
      <c r="K21" s="284" t="s">
        <v>98</v>
      </c>
      <c r="L21" s="285"/>
    </row>
    <row r="22" spans="2:12" x14ac:dyDescent="0.35">
      <c r="B22" s="233">
        <v>2022</v>
      </c>
      <c r="C22" s="64" t="s">
        <v>70</v>
      </c>
      <c r="D22" s="65">
        <v>2788</v>
      </c>
      <c r="E22" s="65">
        <v>650</v>
      </c>
      <c r="F22" s="65">
        <v>3338</v>
      </c>
      <c r="G22" s="65">
        <v>2538</v>
      </c>
      <c r="H22" s="65">
        <v>1656</v>
      </c>
      <c r="I22" s="65">
        <v>385</v>
      </c>
      <c r="J22" s="65">
        <v>11355</v>
      </c>
      <c r="K22" s="66" t="s">
        <v>86</v>
      </c>
      <c r="L22" s="236">
        <v>2022</v>
      </c>
    </row>
    <row r="23" spans="2:12" x14ac:dyDescent="0.35">
      <c r="B23" s="234"/>
      <c r="C23" s="64" t="s">
        <v>71</v>
      </c>
      <c r="D23" s="65">
        <v>2222</v>
      </c>
      <c r="E23" s="65">
        <v>543</v>
      </c>
      <c r="F23" s="65">
        <v>2681</v>
      </c>
      <c r="G23" s="65">
        <v>2144</v>
      </c>
      <c r="H23" s="65">
        <v>1218</v>
      </c>
      <c r="I23" s="65">
        <v>326</v>
      </c>
      <c r="J23" s="65">
        <v>9134</v>
      </c>
      <c r="K23" s="66" t="s">
        <v>87</v>
      </c>
      <c r="L23" s="237"/>
    </row>
    <row r="24" spans="2:12" x14ac:dyDescent="0.35">
      <c r="B24" s="234"/>
      <c r="C24" s="64" t="s">
        <v>72</v>
      </c>
      <c r="D24" s="65">
        <v>1978</v>
      </c>
      <c r="E24" s="65">
        <v>487</v>
      </c>
      <c r="F24" s="65">
        <v>2377</v>
      </c>
      <c r="G24" s="65">
        <v>2107</v>
      </c>
      <c r="H24" s="65">
        <v>1060</v>
      </c>
      <c r="I24" s="65">
        <v>287</v>
      </c>
      <c r="J24" s="65">
        <v>8296</v>
      </c>
      <c r="K24" s="66" t="s">
        <v>88</v>
      </c>
      <c r="L24" s="237"/>
    </row>
    <row r="25" spans="2:12" x14ac:dyDescent="0.35">
      <c r="B25" s="234"/>
      <c r="C25" s="64" t="s">
        <v>73</v>
      </c>
      <c r="D25" s="65">
        <v>2312</v>
      </c>
      <c r="E25" s="65">
        <v>438</v>
      </c>
      <c r="F25" s="65">
        <v>2867</v>
      </c>
      <c r="G25" s="65">
        <v>2547</v>
      </c>
      <c r="H25" s="65">
        <v>1550</v>
      </c>
      <c r="I25" s="65">
        <v>401</v>
      </c>
      <c r="J25" s="65">
        <v>10115</v>
      </c>
      <c r="K25" s="66" t="s">
        <v>89</v>
      </c>
      <c r="L25" s="237"/>
    </row>
    <row r="26" spans="2:12" x14ac:dyDescent="0.35">
      <c r="B26" s="234"/>
      <c r="C26" s="64" t="s">
        <v>74</v>
      </c>
      <c r="D26" s="65">
        <v>2461</v>
      </c>
      <c r="E26" s="65">
        <v>511</v>
      </c>
      <c r="F26" s="65">
        <v>2715</v>
      </c>
      <c r="G26" s="65">
        <v>2376</v>
      </c>
      <c r="H26" s="65">
        <v>1130</v>
      </c>
      <c r="I26" s="65">
        <v>332</v>
      </c>
      <c r="J26" s="65">
        <v>9526</v>
      </c>
      <c r="K26" s="66" t="s">
        <v>90</v>
      </c>
      <c r="L26" s="237"/>
    </row>
    <row r="27" spans="2:12" x14ac:dyDescent="0.35">
      <c r="B27" s="234"/>
      <c r="C27" s="64" t="s">
        <v>75</v>
      </c>
      <c r="D27" s="65">
        <v>1545</v>
      </c>
      <c r="E27" s="65">
        <v>329</v>
      </c>
      <c r="F27" s="65">
        <v>1713</v>
      </c>
      <c r="G27" s="65">
        <v>1513</v>
      </c>
      <c r="H27" s="65">
        <v>704</v>
      </c>
      <c r="I27" s="65">
        <v>197</v>
      </c>
      <c r="J27" s="65">
        <v>6001</v>
      </c>
      <c r="K27" s="66" t="s">
        <v>91</v>
      </c>
      <c r="L27" s="237"/>
    </row>
    <row r="28" spans="2:12" x14ac:dyDescent="0.35">
      <c r="B28" s="234"/>
      <c r="C28" s="64" t="s">
        <v>76</v>
      </c>
      <c r="D28" s="65">
        <v>4653</v>
      </c>
      <c r="E28" s="65">
        <v>684</v>
      </c>
      <c r="F28" s="65">
        <v>5602</v>
      </c>
      <c r="G28" s="65">
        <v>3719</v>
      </c>
      <c r="H28" s="65">
        <v>2549</v>
      </c>
      <c r="I28" s="65">
        <v>449</v>
      </c>
      <c r="J28" s="65">
        <v>17657</v>
      </c>
      <c r="K28" s="66" t="s">
        <v>92</v>
      </c>
      <c r="L28" s="237"/>
    </row>
    <row r="29" spans="2:12" x14ac:dyDescent="0.35">
      <c r="B29" s="234"/>
      <c r="C29" s="64" t="s">
        <v>77</v>
      </c>
      <c r="D29" s="65">
        <v>3029</v>
      </c>
      <c r="E29" s="65">
        <v>534</v>
      </c>
      <c r="F29" s="65">
        <v>3229</v>
      </c>
      <c r="G29" s="65">
        <v>2449</v>
      </c>
      <c r="H29" s="65">
        <v>1589</v>
      </c>
      <c r="I29" s="65">
        <v>402</v>
      </c>
      <c r="J29" s="65">
        <v>11232</v>
      </c>
      <c r="K29" s="66" t="s">
        <v>93</v>
      </c>
      <c r="L29" s="237"/>
    </row>
    <row r="30" spans="2:12" x14ac:dyDescent="0.35">
      <c r="B30" s="234"/>
      <c r="C30" s="64" t="s">
        <v>78</v>
      </c>
      <c r="D30" s="65">
        <v>1397</v>
      </c>
      <c r="E30" s="65">
        <v>265</v>
      </c>
      <c r="F30" s="65">
        <v>1339</v>
      </c>
      <c r="G30" s="65">
        <v>1344</v>
      </c>
      <c r="H30" s="65">
        <v>692</v>
      </c>
      <c r="I30" s="65">
        <v>196</v>
      </c>
      <c r="J30" s="65">
        <v>5232</v>
      </c>
      <c r="K30" s="66" t="s">
        <v>94</v>
      </c>
      <c r="L30" s="237"/>
    </row>
    <row r="31" spans="2:12" x14ac:dyDescent="0.35">
      <c r="B31" s="234"/>
      <c r="C31" s="64" t="s">
        <v>79</v>
      </c>
      <c r="D31" s="65">
        <v>1594</v>
      </c>
      <c r="E31" s="65">
        <v>222</v>
      </c>
      <c r="F31" s="65">
        <v>1521</v>
      </c>
      <c r="G31" s="65">
        <v>1647</v>
      </c>
      <c r="H31" s="65">
        <v>759</v>
      </c>
      <c r="I31" s="65">
        <v>201</v>
      </c>
      <c r="J31" s="65">
        <v>5944</v>
      </c>
      <c r="K31" s="66" t="s">
        <v>95</v>
      </c>
      <c r="L31" s="237"/>
    </row>
    <row r="32" spans="2:12" x14ac:dyDescent="0.35">
      <c r="B32" s="234"/>
      <c r="C32" s="64" t="s">
        <v>80</v>
      </c>
      <c r="D32" s="65">
        <v>2127</v>
      </c>
      <c r="E32" s="65">
        <v>276</v>
      </c>
      <c r="F32" s="65">
        <v>2251</v>
      </c>
      <c r="G32" s="65">
        <v>2430</v>
      </c>
      <c r="H32" s="65">
        <v>999</v>
      </c>
      <c r="I32" s="65">
        <v>178</v>
      </c>
      <c r="J32" s="65">
        <v>8260</v>
      </c>
      <c r="K32" s="66" t="s">
        <v>96</v>
      </c>
      <c r="L32" s="237"/>
    </row>
    <row r="33" spans="2:12" x14ac:dyDescent="0.35">
      <c r="B33" s="235"/>
      <c r="C33" s="96" t="s">
        <v>81</v>
      </c>
      <c r="D33" s="65">
        <v>1126</v>
      </c>
      <c r="E33" s="65">
        <v>170</v>
      </c>
      <c r="F33" s="65">
        <v>1217</v>
      </c>
      <c r="G33" s="65">
        <v>1227</v>
      </c>
      <c r="H33" s="65">
        <v>583</v>
      </c>
      <c r="I33" s="191">
        <v>185</v>
      </c>
      <c r="J33" s="191">
        <v>4508</v>
      </c>
      <c r="K33" s="97" t="s">
        <v>97</v>
      </c>
      <c r="L33" s="238"/>
    </row>
    <row r="34" spans="2:12" x14ac:dyDescent="0.35">
      <c r="B34" s="282" t="s">
        <v>85</v>
      </c>
      <c r="C34" s="283"/>
      <c r="D34" s="69">
        <f>SUM(D22:D33)</f>
        <v>27232</v>
      </c>
      <c r="E34" s="69">
        <f t="shared" ref="E34:J34" si="1">SUM(E22:E33)</f>
        <v>5109</v>
      </c>
      <c r="F34" s="69">
        <f t="shared" si="1"/>
        <v>30850</v>
      </c>
      <c r="G34" s="69">
        <f t="shared" si="1"/>
        <v>26041</v>
      </c>
      <c r="H34" s="69">
        <f t="shared" si="1"/>
        <v>14489</v>
      </c>
      <c r="I34" s="69">
        <f t="shared" si="1"/>
        <v>3539</v>
      </c>
      <c r="J34" s="69">
        <f t="shared" si="1"/>
        <v>107260</v>
      </c>
      <c r="K34" s="284" t="s">
        <v>98</v>
      </c>
      <c r="L34" s="285"/>
    </row>
    <row r="35" spans="2:12" x14ac:dyDescent="0.35">
      <c r="B35" s="233">
        <v>2023</v>
      </c>
      <c r="C35" s="64" t="s">
        <v>70</v>
      </c>
      <c r="D35" s="65">
        <v>1988.66893822</v>
      </c>
      <c r="E35" s="65">
        <v>322.06577186000004</v>
      </c>
      <c r="F35" s="65">
        <v>2400.5592474699997</v>
      </c>
      <c r="G35" s="65">
        <v>2192.3860462199996</v>
      </c>
      <c r="H35" s="65">
        <v>1183.1265251500001</v>
      </c>
      <c r="I35" s="65">
        <v>246.55704986000001</v>
      </c>
      <c r="J35" s="65">
        <v>8333.3635808999989</v>
      </c>
      <c r="K35" s="66" t="s">
        <v>86</v>
      </c>
      <c r="L35" s="236">
        <v>2023</v>
      </c>
    </row>
    <row r="36" spans="2:12" x14ac:dyDescent="0.35">
      <c r="B36" s="234"/>
      <c r="C36" s="64" t="s">
        <v>71</v>
      </c>
      <c r="D36" s="65">
        <v>1924.32434201</v>
      </c>
      <c r="E36" s="65">
        <v>330.08259200999998</v>
      </c>
      <c r="F36" s="65">
        <v>1975.1896620699999</v>
      </c>
      <c r="G36" s="65">
        <v>2187.90845919</v>
      </c>
      <c r="H36" s="65">
        <v>992.0734602</v>
      </c>
      <c r="I36" s="65">
        <v>211.53913508000002</v>
      </c>
      <c r="J36" s="65">
        <v>7621.1176498000004</v>
      </c>
      <c r="K36" s="66" t="s">
        <v>87</v>
      </c>
      <c r="L36" s="237"/>
    </row>
    <row r="37" spans="2:12" x14ac:dyDescent="0.35">
      <c r="B37" s="234"/>
      <c r="C37" s="64" t="s">
        <v>72</v>
      </c>
      <c r="D37" s="65">
        <v>2302.0279512500001</v>
      </c>
      <c r="E37" s="65">
        <v>387.78937095999999</v>
      </c>
      <c r="F37" s="65">
        <v>2593.9286802600004</v>
      </c>
      <c r="G37" s="65">
        <v>2888.4865453400002</v>
      </c>
      <c r="H37" s="65">
        <v>1262.1552021199998</v>
      </c>
      <c r="I37" s="65">
        <v>309.10099080999998</v>
      </c>
      <c r="J37" s="65">
        <v>9743.4887421900003</v>
      </c>
      <c r="K37" s="66" t="s">
        <v>88</v>
      </c>
      <c r="L37" s="237"/>
    </row>
    <row r="38" spans="2:12" x14ac:dyDescent="0.35">
      <c r="B38" s="234"/>
      <c r="C38" s="64" t="s">
        <v>73</v>
      </c>
      <c r="D38" s="65">
        <v>2085.21569598</v>
      </c>
      <c r="E38" s="65">
        <v>391.65138529000001</v>
      </c>
      <c r="F38" s="65">
        <v>2781.99156468</v>
      </c>
      <c r="G38" s="65">
        <v>2785.0051110999998</v>
      </c>
      <c r="H38" s="65">
        <v>1093.9696207</v>
      </c>
      <c r="I38" s="65">
        <v>290.21415407999996</v>
      </c>
      <c r="J38" s="65">
        <v>9428.0475361299996</v>
      </c>
      <c r="K38" s="66" t="s">
        <v>89</v>
      </c>
      <c r="L38" s="237"/>
    </row>
    <row r="39" spans="2:12" x14ac:dyDescent="0.35">
      <c r="B39" s="234"/>
      <c r="C39" s="64" t="s">
        <v>74</v>
      </c>
      <c r="D39" s="65">
        <v>1491.2492032999999</v>
      </c>
      <c r="E39" s="65">
        <v>229.09484508</v>
      </c>
      <c r="F39" s="65">
        <v>1995.38925993</v>
      </c>
      <c r="G39" s="65">
        <v>2131.5640089899998</v>
      </c>
      <c r="H39" s="65">
        <v>666.96018648999996</v>
      </c>
      <c r="I39" s="65">
        <v>199.29905595</v>
      </c>
      <c r="J39" s="65">
        <v>6713.5565606299997</v>
      </c>
      <c r="K39" s="66" t="s">
        <v>90</v>
      </c>
      <c r="L39" s="237"/>
    </row>
    <row r="40" spans="2:12" x14ac:dyDescent="0.35">
      <c r="B40" s="234"/>
      <c r="C40" s="64" t="s">
        <v>75</v>
      </c>
      <c r="D40" s="65">
        <v>3270.62190212</v>
      </c>
      <c r="E40" s="65">
        <v>514.89732655</v>
      </c>
      <c r="F40" s="65">
        <v>4463.5814544599998</v>
      </c>
      <c r="G40" s="65">
        <v>4483.6673424399996</v>
      </c>
      <c r="H40" s="65">
        <v>2076.00300621</v>
      </c>
      <c r="I40" s="65">
        <v>602.82218570000009</v>
      </c>
      <c r="J40" s="65">
        <v>15411.593215569999</v>
      </c>
      <c r="K40" s="66" t="s">
        <v>91</v>
      </c>
      <c r="L40" s="237"/>
    </row>
    <row r="41" spans="2:12" x14ac:dyDescent="0.35">
      <c r="B41" s="234"/>
      <c r="C41" s="64" t="s">
        <v>76</v>
      </c>
      <c r="D41" s="65">
        <v>2294.4998173099998</v>
      </c>
      <c r="E41" s="65">
        <v>565.91518007000002</v>
      </c>
      <c r="F41" s="65">
        <v>3500.1708755199998</v>
      </c>
      <c r="G41" s="65">
        <v>3365.9650558499998</v>
      </c>
      <c r="H41" s="65">
        <v>1134.2650013900002</v>
      </c>
      <c r="I41" s="65">
        <v>399.99403252999997</v>
      </c>
      <c r="J41" s="65">
        <v>11260.809963489999</v>
      </c>
      <c r="K41" s="66" t="s">
        <v>92</v>
      </c>
      <c r="L41" s="237"/>
    </row>
    <row r="42" spans="2:12" x14ac:dyDescent="0.35">
      <c r="B42" s="234"/>
      <c r="C42" s="64" t="s">
        <v>77</v>
      </c>
      <c r="D42" s="65">
        <v>2106.5542027199999</v>
      </c>
      <c r="E42" s="65">
        <v>330.42408354000003</v>
      </c>
      <c r="F42" s="65">
        <v>2555.4687556700001</v>
      </c>
      <c r="G42" s="65">
        <v>2530.5781262199998</v>
      </c>
      <c r="H42" s="65">
        <v>788.59834022000007</v>
      </c>
      <c r="I42" s="65">
        <v>315.13479324999997</v>
      </c>
      <c r="J42" s="65">
        <v>8626.7583043300001</v>
      </c>
      <c r="K42" s="66" t="s">
        <v>93</v>
      </c>
      <c r="L42" s="237"/>
    </row>
    <row r="43" spans="2:12" x14ac:dyDescent="0.35">
      <c r="B43" s="234"/>
      <c r="C43" s="64" t="s">
        <v>78</v>
      </c>
      <c r="D43" s="65">
        <v>1863.2145384999999</v>
      </c>
      <c r="E43" s="65">
        <v>305.67500687</v>
      </c>
      <c r="F43" s="65">
        <v>2442.52354754</v>
      </c>
      <c r="G43" s="65">
        <v>2484.31355983</v>
      </c>
      <c r="H43" s="65">
        <v>885.58884035000005</v>
      </c>
      <c r="I43" s="65">
        <v>327.56981678</v>
      </c>
      <c r="J43" s="65">
        <v>8308.88530876</v>
      </c>
      <c r="K43" s="66" t="s">
        <v>94</v>
      </c>
      <c r="L43" s="237"/>
    </row>
    <row r="44" spans="2:12" x14ac:dyDescent="0.35">
      <c r="B44" s="234"/>
      <c r="C44" s="64" t="s">
        <v>79</v>
      </c>
      <c r="D44" s="65">
        <v>1943.49609532</v>
      </c>
      <c r="E44" s="65">
        <v>369.78565314999997</v>
      </c>
      <c r="F44" s="65">
        <v>2810.7660361399999</v>
      </c>
      <c r="G44" s="65">
        <v>2792.13366516</v>
      </c>
      <c r="H44" s="65">
        <v>706.49242158000004</v>
      </c>
      <c r="I44" s="65">
        <v>447.23605399000002</v>
      </c>
      <c r="J44" s="65">
        <v>9069.9099253200002</v>
      </c>
      <c r="K44" s="66" t="s">
        <v>95</v>
      </c>
      <c r="L44" s="237"/>
    </row>
    <row r="45" spans="2:12" x14ac:dyDescent="0.35">
      <c r="B45" s="234"/>
      <c r="C45" s="64" t="s">
        <v>80</v>
      </c>
      <c r="D45" s="65">
        <v>2512.9759381399999</v>
      </c>
      <c r="E45" s="65">
        <v>390.77871329000004</v>
      </c>
      <c r="F45" s="65">
        <v>3270.1711716899999</v>
      </c>
      <c r="G45" s="65">
        <v>3211.8380153899998</v>
      </c>
      <c r="H45" s="65">
        <v>970.63232597000001</v>
      </c>
      <c r="I45" s="65">
        <v>412.82036270999998</v>
      </c>
      <c r="J45" s="65">
        <v>10769.21652609</v>
      </c>
      <c r="K45" s="66" t="s">
        <v>96</v>
      </c>
      <c r="L45" s="237"/>
    </row>
    <row r="46" spans="2:12" x14ac:dyDescent="0.35">
      <c r="B46" s="235"/>
      <c r="C46" s="96" t="s">
        <v>81</v>
      </c>
      <c r="D46" s="65">
        <v>1908.0813159300001</v>
      </c>
      <c r="E46" s="65">
        <v>531.78875804999996</v>
      </c>
      <c r="F46" s="65">
        <v>2952.6471549499997</v>
      </c>
      <c r="G46" s="65">
        <v>2486.6593450800001</v>
      </c>
      <c r="H46" s="65">
        <v>848.26595191999991</v>
      </c>
      <c r="I46" s="191">
        <v>392.54370981</v>
      </c>
      <c r="J46" s="191">
        <v>9119.9862370900009</v>
      </c>
      <c r="K46" s="97" t="s">
        <v>97</v>
      </c>
      <c r="L46" s="238"/>
    </row>
    <row r="47" spans="2:12" x14ac:dyDescent="0.35">
      <c r="B47" s="282" t="s">
        <v>85</v>
      </c>
      <c r="C47" s="283"/>
      <c r="D47" s="69">
        <v>25690.929940800001</v>
      </c>
      <c r="E47" s="69">
        <v>4669.9486867200003</v>
      </c>
      <c r="F47" s="69">
        <v>33742.387410380004</v>
      </c>
      <c r="G47" s="69">
        <v>33540.505280810001</v>
      </c>
      <c r="H47" s="69">
        <v>12608.1308823</v>
      </c>
      <c r="I47" s="69">
        <v>4154.8313405500003</v>
      </c>
      <c r="J47" s="69">
        <v>114406.73355030001</v>
      </c>
      <c r="K47" s="284" t="s">
        <v>98</v>
      </c>
      <c r="L47" s="285"/>
    </row>
    <row r="48" spans="2:12" x14ac:dyDescent="0.35">
      <c r="B48" s="233">
        <v>2024</v>
      </c>
      <c r="C48" s="64" t="s">
        <v>70</v>
      </c>
      <c r="D48" s="65">
        <v>2182.7703891199999</v>
      </c>
      <c r="E48" s="65">
        <v>387.66503151000001</v>
      </c>
      <c r="F48" s="65">
        <v>3060.2831488899997</v>
      </c>
      <c r="G48" s="65">
        <v>3001.7143679999999</v>
      </c>
      <c r="H48" s="65">
        <v>980.21259498000006</v>
      </c>
      <c r="I48" s="65">
        <v>427.77579089</v>
      </c>
      <c r="J48" s="65">
        <v>10040.421327530001</v>
      </c>
      <c r="K48" s="66" t="s">
        <v>86</v>
      </c>
      <c r="L48" s="236">
        <v>2024</v>
      </c>
    </row>
    <row r="49" spans="2:12" x14ac:dyDescent="0.35">
      <c r="B49" s="234"/>
      <c r="C49" s="64" t="s">
        <v>71</v>
      </c>
      <c r="D49" s="65">
        <v>2164.9333829699999</v>
      </c>
      <c r="E49" s="65">
        <v>466.01594906000003</v>
      </c>
      <c r="F49" s="65">
        <v>3222.2515222299999</v>
      </c>
      <c r="G49" s="65">
        <v>2803.9749328299999</v>
      </c>
      <c r="H49" s="65">
        <v>1180.0576649700001</v>
      </c>
      <c r="I49" s="65">
        <v>344.71024402999996</v>
      </c>
      <c r="J49" s="65">
        <v>10181.943697379998</v>
      </c>
      <c r="K49" s="66" t="s">
        <v>87</v>
      </c>
      <c r="L49" s="237"/>
    </row>
    <row r="50" spans="2:12" x14ac:dyDescent="0.35">
      <c r="B50" s="234"/>
      <c r="C50" s="64" t="s">
        <v>72</v>
      </c>
      <c r="D50" s="65">
        <v>1951.5039806300001</v>
      </c>
      <c r="E50" s="65">
        <v>341.01700652999995</v>
      </c>
      <c r="F50" s="65">
        <v>3317.1733385399998</v>
      </c>
      <c r="G50" s="65">
        <v>3163.98976786</v>
      </c>
      <c r="H50" s="65">
        <v>983.60181627999998</v>
      </c>
      <c r="I50" s="65">
        <v>301.67986886</v>
      </c>
      <c r="J50" s="65">
        <v>10058.96577742</v>
      </c>
      <c r="K50" s="66" t="s">
        <v>88</v>
      </c>
      <c r="L50" s="237"/>
    </row>
    <row r="51" spans="2:12" x14ac:dyDescent="0.35">
      <c r="B51" s="234"/>
      <c r="C51" s="64" t="s">
        <v>73</v>
      </c>
      <c r="D51" s="65">
        <v>1783.6914785199999</v>
      </c>
      <c r="E51" s="65">
        <v>306.72593138000002</v>
      </c>
      <c r="F51" s="65">
        <v>2883.15732235</v>
      </c>
      <c r="G51" s="65">
        <v>2483.2909279599999</v>
      </c>
      <c r="H51" s="65">
        <v>663.26823202999992</v>
      </c>
      <c r="I51" s="65">
        <v>233.70377512000002</v>
      </c>
      <c r="J51" s="65">
        <v>8353.8376678100012</v>
      </c>
      <c r="K51" s="66" t="s">
        <v>89</v>
      </c>
      <c r="L51" s="237"/>
    </row>
    <row r="52" spans="2:12" x14ac:dyDescent="0.35">
      <c r="B52" s="234"/>
      <c r="C52" s="64" t="s">
        <v>74</v>
      </c>
      <c r="D52" s="65">
        <v>1732.6201010899999</v>
      </c>
      <c r="E52" s="65">
        <v>247.52247525000001</v>
      </c>
      <c r="F52" s="65">
        <v>2592.6930398600002</v>
      </c>
      <c r="G52" s="65">
        <v>2236.5918308699997</v>
      </c>
      <c r="H52" s="65">
        <v>657.86527629</v>
      </c>
      <c r="I52" s="65">
        <v>326.58115027999997</v>
      </c>
      <c r="J52" s="65">
        <v>7793.87387158</v>
      </c>
      <c r="K52" s="66" t="s">
        <v>90</v>
      </c>
      <c r="L52" s="237"/>
    </row>
    <row r="53" spans="2:12" x14ac:dyDescent="0.35">
      <c r="B53" s="234"/>
      <c r="C53" s="64" t="s">
        <v>75</v>
      </c>
      <c r="D53" s="65">
        <v>2917.62054119</v>
      </c>
      <c r="E53" s="65">
        <v>470.01028427</v>
      </c>
      <c r="F53" s="65">
        <v>5226.5491941800001</v>
      </c>
      <c r="G53" s="65">
        <v>4189.1168733499999</v>
      </c>
      <c r="H53" s="65">
        <v>1648.3103625599999</v>
      </c>
      <c r="I53" s="65">
        <v>486.65091388000002</v>
      </c>
      <c r="J53" s="65">
        <v>14938.258169659999</v>
      </c>
      <c r="K53" s="66" t="s">
        <v>91</v>
      </c>
      <c r="L53" s="237"/>
    </row>
    <row r="54" spans="2:12" x14ac:dyDescent="0.35">
      <c r="B54" s="234"/>
      <c r="C54" s="64" t="s">
        <v>76</v>
      </c>
      <c r="D54" s="65">
        <v>2180.6393307199996</v>
      </c>
      <c r="E54" s="65">
        <v>372.57222394999997</v>
      </c>
      <c r="F54" s="65">
        <v>3386.7115936999999</v>
      </c>
      <c r="G54" s="65">
        <v>2590.6702189499997</v>
      </c>
      <c r="H54" s="65">
        <v>782.24370300999999</v>
      </c>
      <c r="I54" s="65">
        <v>320.70596075999998</v>
      </c>
      <c r="J54" s="65">
        <v>9633.5430282600009</v>
      </c>
      <c r="K54" s="66" t="s">
        <v>92</v>
      </c>
      <c r="L54" s="237"/>
    </row>
    <row r="55" spans="2:12" x14ac:dyDescent="0.35">
      <c r="B55" s="234"/>
      <c r="C55" s="64" t="s">
        <v>77</v>
      </c>
      <c r="D55" s="65">
        <v>2132.13831837</v>
      </c>
      <c r="E55" s="65">
        <v>272.19075420000001</v>
      </c>
      <c r="F55" s="65">
        <v>2844.9125542299998</v>
      </c>
      <c r="G55" s="65">
        <v>2478.8109275300003</v>
      </c>
      <c r="H55" s="65">
        <v>663.39554161000001</v>
      </c>
      <c r="I55" s="65">
        <v>312.17343535000003</v>
      </c>
      <c r="J55" s="65">
        <v>8703.6215322400003</v>
      </c>
      <c r="K55" s="66" t="s">
        <v>93</v>
      </c>
      <c r="L55" s="237"/>
    </row>
    <row r="56" spans="2:12" x14ac:dyDescent="0.35">
      <c r="B56" s="234"/>
      <c r="C56" s="64" t="s">
        <v>78</v>
      </c>
      <c r="D56" s="65">
        <v>1863.4041252899999</v>
      </c>
      <c r="E56" s="65">
        <v>227.59396647</v>
      </c>
      <c r="F56" s="65">
        <v>2725.0001142900001</v>
      </c>
      <c r="G56" s="65">
        <v>2548.6451657699999</v>
      </c>
      <c r="H56" s="65">
        <v>551.15925044000005</v>
      </c>
      <c r="I56" s="65">
        <v>258.19069022000002</v>
      </c>
      <c r="J56" s="65">
        <v>8173.9933123199999</v>
      </c>
      <c r="K56" s="66" t="s">
        <v>94</v>
      </c>
      <c r="L56" s="237"/>
    </row>
    <row r="57" spans="2:12" x14ac:dyDescent="0.35">
      <c r="B57" s="234"/>
      <c r="C57" s="64" t="s">
        <v>79</v>
      </c>
      <c r="D57" s="65">
        <v>1878.2686358800001</v>
      </c>
      <c r="E57" s="65">
        <v>238.20049438000001</v>
      </c>
      <c r="F57" s="65">
        <v>2642.4618081100002</v>
      </c>
      <c r="G57" s="65">
        <v>2563.1236786700001</v>
      </c>
      <c r="H57" s="65">
        <v>722.18529813999999</v>
      </c>
      <c r="I57" s="65">
        <v>256.19565186</v>
      </c>
      <c r="J57" s="65">
        <v>8300.4355675099996</v>
      </c>
      <c r="K57" s="66" t="s">
        <v>95</v>
      </c>
      <c r="L57" s="237"/>
    </row>
    <row r="58" spans="2:12" x14ac:dyDescent="0.35">
      <c r="B58" s="234"/>
      <c r="C58" s="64" t="s">
        <v>80</v>
      </c>
      <c r="D58" s="65">
        <v>2031.55164517</v>
      </c>
      <c r="E58" s="65">
        <v>315.36543942000003</v>
      </c>
      <c r="F58" s="65">
        <v>3452.52383865</v>
      </c>
      <c r="G58" s="65">
        <v>3108.5563778200003</v>
      </c>
      <c r="H58" s="65">
        <v>1122.3971447899999</v>
      </c>
      <c r="I58" s="65">
        <v>255.53453822</v>
      </c>
      <c r="J58" s="65">
        <v>10285.928985299999</v>
      </c>
      <c r="K58" s="66" t="s">
        <v>96</v>
      </c>
      <c r="L58" s="237"/>
    </row>
    <row r="59" spans="2:12" x14ac:dyDescent="0.35">
      <c r="B59" s="235"/>
      <c r="C59" s="96" t="s">
        <v>81</v>
      </c>
      <c r="D59" s="65">
        <v>1898.7465896900001</v>
      </c>
      <c r="E59" s="65">
        <v>248.91599533999999</v>
      </c>
      <c r="F59" s="65">
        <v>2853.7681192</v>
      </c>
      <c r="G59" s="65">
        <v>2681.1948615900001</v>
      </c>
      <c r="H59" s="65">
        <v>827.11391232000005</v>
      </c>
      <c r="I59" s="191">
        <v>301.21360842000001</v>
      </c>
      <c r="J59" s="191">
        <v>8810.9530837099992</v>
      </c>
      <c r="K59" s="97" t="s">
        <v>97</v>
      </c>
      <c r="L59" s="238"/>
    </row>
    <row r="60" spans="2:12" x14ac:dyDescent="0.35">
      <c r="B60" s="282" t="s">
        <v>85</v>
      </c>
      <c r="C60" s="283"/>
      <c r="D60" s="69">
        <v>24717.88851864</v>
      </c>
      <c r="E60" s="69">
        <v>3893.7955517600003</v>
      </c>
      <c r="F60" s="69">
        <v>38207.485594230006</v>
      </c>
      <c r="G60" s="69">
        <v>33849.6799312</v>
      </c>
      <c r="H60" s="69">
        <v>10781.810797419999</v>
      </c>
      <c r="I60" s="69">
        <v>3825.1156278899998</v>
      </c>
      <c r="J60" s="69">
        <v>115275.77602072</v>
      </c>
      <c r="K60" s="284" t="s">
        <v>98</v>
      </c>
      <c r="L60" s="285"/>
    </row>
    <row r="61" spans="2:12" x14ac:dyDescent="0.35">
      <c r="B61" s="233">
        <v>2025</v>
      </c>
      <c r="C61" s="64" t="s">
        <v>70</v>
      </c>
      <c r="D61" s="65">
        <v>2479.8444156199998</v>
      </c>
      <c r="E61" s="65">
        <v>583.97667813999999</v>
      </c>
      <c r="F61" s="65">
        <v>3429.5566515199998</v>
      </c>
      <c r="G61" s="65">
        <v>2849.4893593400002</v>
      </c>
      <c r="H61" s="65">
        <v>998.72957966000001</v>
      </c>
      <c r="I61" s="65">
        <v>252.86623093</v>
      </c>
      <c r="J61" s="65">
        <v>10594.462917069999</v>
      </c>
      <c r="K61" s="66" t="s">
        <v>86</v>
      </c>
      <c r="L61" s="236">
        <v>2025</v>
      </c>
    </row>
    <row r="62" spans="2:12" x14ac:dyDescent="0.35">
      <c r="B62" s="234"/>
      <c r="C62" s="64" t="s">
        <v>71</v>
      </c>
      <c r="D62" s="65">
        <v>1973.7531183699998</v>
      </c>
      <c r="E62" s="65">
        <v>407.42469806999998</v>
      </c>
      <c r="F62" s="65">
        <v>2617.70844459</v>
      </c>
      <c r="G62" s="65">
        <v>2289.47244245</v>
      </c>
      <c r="H62" s="65">
        <v>909.25400030999992</v>
      </c>
      <c r="I62" s="65">
        <v>169.52480286000002</v>
      </c>
      <c r="J62" s="65">
        <v>8367.1375055999997</v>
      </c>
      <c r="K62" s="66" t="s">
        <v>87</v>
      </c>
      <c r="L62" s="237"/>
    </row>
    <row r="63" spans="2:12" x14ac:dyDescent="0.35">
      <c r="B63" s="234"/>
      <c r="C63" s="64" t="s">
        <v>72</v>
      </c>
      <c r="D63" s="65">
        <v>2797.5693907399996</v>
      </c>
      <c r="E63" s="65">
        <v>407.73298686000004</v>
      </c>
      <c r="F63" s="65">
        <v>4501.7363493500006</v>
      </c>
      <c r="G63" s="65">
        <v>3529.1270538600002</v>
      </c>
      <c r="H63" s="65">
        <v>1668.3178602400001</v>
      </c>
      <c r="I63" s="65">
        <v>407.37710286000004</v>
      </c>
      <c r="J63" s="65">
        <v>13311.86074459</v>
      </c>
      <c r="K63" s="66" t="s">
        <v>88</v>
      </c>
      <c r="L63" s="237"/>
    </row>
    <row r="64" spans="2:12" x14ac:dyDescent="0.35">
      <c r="B64" s="234"/>
      <c r="C64" s="64" t="s">
        <v>73</v>
      </c>
      <c r="D64" s="65">
        <v>2107.7598797800001</v>
      </c>
      <c r="E64" s="65">
        <v>426.82957857999997</v>
      </c>
      <c r="F64" s="65">
        <v>2621.94337223</v>
      </c>
      <c r="G64" s="65">
        <v>2415.5943101100002</v>
      </c>
      <c r="H64" s="65">
        <v>841.38798186999998</v>
      </c>
      <c r="I64" s="65">
        <v>185.67964012000002</v>
      </c>
      <c r="J64" s="65">
        <v>8599.1947645</v>
      </c>
      <c r="K64" s="66" t="s">
        <v>89</v>
      </c>
      <c r="L64" s="237"/>
    </row>
    <row r="65" spans="2:12" x14ac:dyDescent="0.35">
      <c r="B65" s="234"/>
      <c r="C65" s="64" t="s">
        <v>74</v>
      </c>
      <c r="D65" s="65">
        <v>2691.3274481799999</v>
      </c>
      <c r="E65" s="65">
        <v>442.05707741000003</v>
      </c>
      <c r="F65" s="65">
        <v>3691.5080536599999</v>
      </c>
      <c r="G65" s="65">
        <v>3159.8115667299999</v>
      </c>
      <c r="H65" s="65">
        <v>1208.0794375</v>
      </c>
      <c r="I65" s="65">
        <v>305.59472012999998</v>
      </c>
      <c r="J65" s="65">
        <v>11498.37830649</v>
      </c>
      <c r="K65" s="66" t="s">
        <v>90</v>
      </c>
      <c r="L65" s="237"/>
    </row>
    <row r="66" spans="2:12" x14ac:dyDescent="0.35">
      <c r="B66" s="234"/>
      <c r="C66" s="64" t="s">
        <v>75</v>
      </c>
      <c r="D66" s="65">
        <v>3300.7349471900002</v>
      </c>
      <c r="E66" s="65">
        <v>473.68892899999997</v>
      </c>
      <c r="F66" s="65">
        <v>4688.2398895600008</v>
      </c>
      <c r="G66" s="65">
        <v>3967.4085437499998</v>
      </c>
      <c r="H66" s="65">
        <v>1641.39564946</v>
      </c>
      <c r="I66" s="65">
        <v>560.70927830999995</v>
      </c>
      <c r="J66" s="65">
        <v>14632.17724092</v>
      </c>
      <c r="K66" s="66" t="s">
        <v>91</v>
      </c>
      <c r="L66" s="237"/>
    </row>
    <row r="67" spans="2:12" x14ac:dyDescent="0.35">
      <c r="B67" s="234"/>
      <c r="C67" s="64" t="s">
        <v>76</v>
      </c>
      <c r="D67" s="65">
        <v>3527.49124906</v>
      </c>
      <c r="E67" s="65">
        <v>491.19792054999999</v>
      </c>
      <c r="F67" s="65">
        <v>4881.0524104699998</v>
      </c>
      <c r="G67" s="65">
        <v>3626.8986522800001</v>
      </c>
      <c r="H67" s="65">
        <v>1380.5622988299999</v>
      </c>
      <c r="I67" s="65">
        <v>1512.5578438099999</v>
      </c>
      <c r="J67" s="65">
        <v>15419.760375940001</v>
      </c>
      <c r="K67" s="66" t="s">
        <v>92</v>
      </c>
      <c r="L67" s="237"/>
    </row>
    <row r="68" spans="2:12" x14ac:dyDescent="0.35">
      <c r="B68" s="234"/>
      <c r="C68" s="64" t="s">
        <v>77</v>
      </c>
      <c r="D68" s="65">
        <v>2510.38484122</v>
      </c>
      <c r="E68" s="65">
        <v>452.52121008999995</v>
      </c>
      <c r="F68" s="65">
        <v>3246.70044173</v>
      </c>
      <c r="G68" s="65">
        <v>2707.0894410400001</v>
      </c>
      <c r="H68" s="65">
        <v>973.11701901999993</v>
      </c>
      <c r="I68" s="65">
        <v>376.13168166000003</v>
      </c>
      <c r="J68" s="65">
        <v>10265.94463541</v>
      </c>
      <c r="K68" s="66" t="s">
        <v>93</v>
      </c>
      <c r="L68" s="237"/>
    </row>
    <row r="69" spans="2:12" x14ac:dyDescent="0.35">
      <c r="B69" s="234"/>
      <c r="C69" s="64" t="s">
        <v>78</v>
      </c>
      <c r="D69" s="65">
        <v>2036.2848138099998</v>
      </c>
      <c r="E69" s="65">
        <v>284.21395858</v>
      </c>
      <c r="F69" s="65">
        <v>2683.5728913499997</v>
      </c>
      <c r="G69" s="65">
        <v>2241.7274981199998</v>
      </c>
      <c r="H69" s="65">
        <v>696.38742996000008</v>
      </c>
      <c r="I69" s="65">
        <v>282.10239560000002</v>
      </c>
      <c r="J69" s="65">
        <v>8224.2889864999997</v>
      </c>
      <c r="K69" s="66" t="s">
        <v>94</v>
      </c>
      <c r="L69" s="237"/>
    </row>
    <row r="70" spans="2:12" x14ac:dyDescent="0.35">
      <c r="B70" s="234"/>
      <c r="C70" s="64" t="s">
        <v>79</v>
      </c>
      <c r="D70" s="65">
        <v>1942.05270556</v>
      </c>
      <c r="E70" s="65">
        <v>325.01111437999998</v>
      </c>
      <c r="F70" s="65">
        <v>2928.3032461999996</v>
      </c>
      <c r="G70" s="65">
        <v>2439.4357658099998</v>
      </c>
      <c r="H70" s="65">
        <v>691.14864076999993</v>
      </c>
      <c r="I70" s="65">
        <v>341.96565483999996</v>
      </c>
      <c r="J70" s="65">
        <v>8667.9171276699999</v>
      </c>
      <c r="K70" s="66" t="s">
        <v>95</v>
      </c>
      <c r="L70" s="237"/>
    </row>
    <row r="71" spans="2:12" x14ac:dyDescent="0.35">
      <c r="B71" s="234"/>
      <c r="C71" s="64" t="s">
        <v>80</v>
      </c>
      <c r="D71" s="65">
        <v>2099.4664205099998</v>
      </c>
      <c r="E71" s="65">
        <v>475.25314018</v>
      </c>
      <c r="F71" s="65">
        <v>3142.40250242</v>
      </c>
      <c r="G71" s="65">
        <v>2453.1667747800002</v>
      </c>
      <c r="H71" s="65">
        <v>922.68327197000008</v>
      </c>
      <c r="I71" s="65">
        <v>330.31960449000002</v>
      </c>
      <c r="J71" s="65">
        <v>9423.2917150400008</v>
      </c>
      <c r="K71" s="66" t="s">
        <v>96</v>
      </c>
      <c r="L71" s="237"/>
    </row>
    <row r="72" spans="2:12" x14ac:dyDescent="0.35">
      <c r="B72" s="235"/>
      <c r="C72" s="96" t="s">
        <v>81</v>
      </c>
      <c r="D72" s="65">
        <v>1902.29708009</v>
      </c>
      <c r="E72" s="65">
        <v>400.10500560000003</v>
      </c>
      <c r="F72" s="65">
        <v>2579.0003456599998</v>
      </c>
      <c r="G72" s="65">
        <v>2194.1033974800002</v>
      </c>
      <c r="H72" s="65">
        <v>655.15993716999992</v>
      </c>
      <c r="I72" s="191">
        <v>341.46054225</v>
      </c>
      <c r="J72" s="191">
        <v>8072.1263077700005</v>
      </c>
      <c r="K72" s="97" t="s">
        <v>97</v>
      </c>
      <c r="L72" s="238"/>
    </row>
    <row r="73" spans="2:12" x14ac:dyDescent="0.35">
      <c r="B73" s="282" t="s">
        <v>85</v>
      </c>
      <c r="C73" s="283"/>
      <c r="D73" s="69">
        <v>29368.966310129999</v>
      </c>
      <c r="E73" s="69">
        <v>5170.0122974399992</v>
      </c>
      <c r="F73" s="69">
        <v>41011.724598739995</v>
      </c>
      <c r="G73" s="69">
        <v>33873.324805750002</v>
      </c>
      <c r="H73" s="69">
        <v>12586.223106760001</v>
      </c>
      <c r="I73" s="69">
        <v>5066.2894978599998</v>
      </c>
      <c r="J73" s="69">
        <v>127076.5406275</v>
      </c>
      <c r="K73" s="284" t="s">
        <v>98</v>
      </c>
      <c r="L73" s="285"/>
    </row>
  </sheetData>
  <mergeCells count="22">
    <mergeCell ref="B61:B72"/>
    <mergeCell ref="L61:L72"/>
    <mergeCell ref="B73:C73"/>
    <mergeCell ref="K73:L73"/>
    <mergeCell ref="B35:B46"/>
    <mergeCell ref="L35:L46"/>
    <mergeCell ref="B48:B59"/>
    <mergeCell ref="L48:L59"/>
    <mergeCell ref="B60:C60"/>
    <mergeCell ref="K60:L60"/>
    <mergeCell ref="B47:C47"/>
    <mergeCell ref="K47:L47"/>
    <mergeCell ref="B22:B33"/>
    <mergeCell ref="L22:L33"/>
    <mergeCell ref="B34:C34"/>
    <mergeCell ref="K34:L34"/>
    <mergeCell ref="A2:E2"/>
    <mergeCell ref="A3:E3"/>
    <mergeCell ref="B9:B20"/>
    <mergeCell ref="L9:L20"/>
    <mergeCell ref="B21:C21"/>
    <mergeCell ref="K21:L21"/>
  </mergeCells>
  <pageMargins left="0.7" right="0.7" top="0.75" bottom="0.75" header="0.3" footer="0.3"/>
  <headerFooter>
    <oddFooter>&amp;C_x000D_&amp;1#&amp;"Calibri"&amp;11&amp;Kffa500 CONFIDENTIAL▮▮مقيّد</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A3CB-1614-4F2C-AA84-2A32616B7B50}">
  <sheetPr>
    <tabColor theme="5" tint="-0.249977111117893"/>
  </sheetPr>
  <dimension ref="A1:N84"/>
  <sheetViews>
    <sheetView showGridLines="0" zoomScaleNormal="100" workbookViewId="0">
      <selection activeCell="C6" sqref="C6"/>
    </sheetView>
  </sheetViews>
  <sheetFormatPr defaultRowHeight="14.5" x14ac:dyDescent="0.35"/>
  <cols>
    <col min="1" max="2" width="9" customWidth="1"/>
    <col min="3" max="3" width="41.1796875" customWidth="1"/>
    <col min="4" max="4" width="34.54296875" bestFit="1" customWidth="1"/>
    <col min="5" max="5" width="38.54296875" bestFit="1" customWidth="1"/>
    <col min="6" max="6" width="33.1796875" bestFit="1" customWidth="1"/>
    <col min="7" max="7" width="22.453125" customWidth="1"/>
    <col min="8" max="8" width="46.81640625" customWidth="1"/>
  </cols>
  <sheetData>
    <row r="1" spans="1:14" x14ac:dyDescent="0.35">
      <c r="A1" s="9" t="s">
        <v>918</v>
      </c>
      <c r="B1" s="9"/>
    </row>
    <row r="4" spans="1:14" x14ac:dyDescent="0.35">
      <c r="A4" s="10" t="s">
        <v>484</v>
      </c>
      <c r="B4" s="11"/>
      <c r="C4" s="30" t="s">
        <v>518</v>
      </c>
      <c r="D4" s="13"/>
      <c r="E4" s="13"/>
      <c r="F4" s="13"/>
      <c r="G4" s="30"/>
      <c r="H4" s="74" t="s">
        <v>506</v>
      </c>
    </row>
    <row r="5" spans="1:14" x14ac:dyDescent="0.35">
      <c r="A5" s="209"/>
      <c r="B5" s="209"/>
      <c r="C5" s="210"/>
      <c r="D5" s="15"/>
      <c r="E5" s="211"/>
      <c r="F5" s="211"/>
      <c r="G5" s="210"/>
      <c r="H5" s="212"/>
    </row>
    <row r="6" spans="1:14" x14ac:dyDescent="0.35">
      <c r="D6" s="222" t="s">
        <v>510</v>
      </c>
      <c r="E6" s="289" t="s">
        <v>512</v>
      </c>
      <c r="F6" s="289"/>
    </row>
    <row r="7" spans="1:14" x14ac:dyDescent="0.35">
      <c r="D7" s="222" t="s">
        <v>514</v>
      </c>
      <c r="E7" s="289" t="s">
        <v>513</v>
      </c>
      <c r="F7" s="289"/>
    </row>
    <row r="8" spans="1:14" x14ac:dyDescent="0.35">
      <c r="B8" s="271">
        <v>2024</v>
      </c>
      <c r="C8" s="290" t="s">
        <v>485</v>
      </c>
      <c r="D8" s="222" t="s">
        <v>515</v>
      </c>
      <c r="E8" s="224" t="s">
        <v>516</v>
      </c>
      <c r="F8" s="224" t="s">
        <v>495</v>
      </c>
      <c r="G8" s="223" t="s">
        <v>486</v>
      </c>
      <c r="H8" s="291" t="s">
        <v>490</v>
      </c>
      <c r="I8" s="271">
        <v>2024</v>
      </c>
    </row>
    <row r="9" spans="1:14" x14ac:dyDescent="0.35">
      <c r="B9" s="271"/>
      <c r="C9" s="290"/>
      <c r="D9" s="222" t="s">
        <v>503</v>
      </c>
      <c r="E9" s="224" t="s">
        <v>502</v>
      </c>
      <c r="F9" s="224" t="s">
        <v>517</v>
      </c>
      <c r="G9" s="223" t="s">
        <v>98</v>
      </c>
      <c r="H9" s="291"/>
      <c r="I9" s="271"/>
    </row>
    <row r="10" spans="1:14" x14ac:dyDescent="0.35">
      <c r="B10" s="271"/>
      <c r="C10" s="221" t="s">
        <v>407</v>
      </c>
      <c r="D10" s="226">
        <v>23487120</v>
      </c>
      <c r="E10" s="226">
        <v>19570490</v>
      </c>
      <c r="F10" s="226">
        <v>1076886</v>
      </c>
      <c r="G10" s="226">
        <f>SUM(D10:F10)</f>
        <v>44134496</v>
      </c>
      <c r="H10" s="220" t="s">
        <v>56</v>
      </c>
      <c r="I10" s="271"/>
    </row>
    <row r="11" spans="1:14" x14ac:dyDescent="0.35">
      <c r="B11" s="271"/>
      <c r="C11" s="206" t="s">
        <v>487</v>
      </c>
      <c r="D11" s="225">
        <v>8274957</v>
      </c>
      <c r="E11" s="225">
        <v>17447592</v>
      </c>
      <c r="F11" s="225">
        <v>299423</v>
      </c>
      <c r="G11" s="217">
        <f>SUM(D11:F11)</f>
        <v>26021972</v>
      </c>
      <c r="H11" s="205" t="s">
        <v>491</v>
      </c>
      <c r="I11" s="271"/>
      <c r="L11" s="315"/>
      <c r="M11" s="315"/>
      <c r="N11" s="315"/>
    </row>
    <row r="12" spans="1:14" x14ac:dyDescent="0.35">
      <c r="B12" s="271"/>
      <c r="C12" s="206" t="s">
        <v>519</v>
      </c>
      <c r="D12" s="225">
        <v>9242560</v>
      </c>
      <c r="E12" s="225">
        <v>2072996</v>
      </c>
      <c r="F12" s="225">
        <v>734387</v>
      </c>
      <c r="G12" s="217">
        <f>SUM(D12:F12)</f>
        <v>12049943</v>
      </c>
      <c r="H12" s="205" t="s">
        <v>498</v>
      </c>
      <c r="I12" s="271"/>
      <c r="M12" s="315"/>
    </row>
    <row r="13" spans="1:14" x14ac:dyDescent="0.35">
      <c r="B13" s="271"/>
      <c r="C13" s="206" t="s">
        <v>520</v>
      </c>
      <c r="D13" s="225">
        <v>3651013</v>
      </c>
      <c r="E13" s="225">
        <v>48669</v>
      </c>
      <c r="F13" s="225">
        <v>42437</v>
      </c>
      <c r="G13" s="217">
        <f>SUM(D13:F13)</f>
        <v>3742119</v>
      </c>
      <c r="H13" s="205" t="s">
        <v>507</v>
      </c>
      <c r="I13" s="271"/>
    </row>
    <row r="14" spans="1:14" x14ac:dyDescent="0.35">
      <c r="B14" s="271"/>
      <c r="C14" s="206" t="s">
        <v>521</v>
      </c>
      <c r="D14" s="225">
        <f>D10-SUM(D11:D13)</f>
        <v>2318590</v>
      </c>
      <c r="E14" s="225">
        <f>E10-SUM(E11:E13)</f>
        <v>1233</v>
      </c>
      <c r="F14" s="225">
        <f>F10-SUM(F11:F13)</f>
        <v>639</v>
      </c>
      <c r="G14" s="217">
        <f>SUM(D14:F14)</f>
        <v>2320462</v>
      </c>
      <c r="H14" s="205" t="s">
        <v>493</v>
      </c>
      <c r="I14" s="271"/>
    </row>
    <row r="15" spans="1:14" x14ac:dyDescent="0.35">
      <c r="B15" s="271"/>
      <c r="C15" s="204" t="s">
        <v>410</v>
      </c>
      <c r="D15" s="226">
        <v>17596758</v>
      </c>
      <c r="E15" s="226">
        <v>2860743</v>
      </c>
      <c r="F15" s="226">
        <v>184057</v>
      </c>
      <c r="G15" s="226">
        <f>SUM(D15:F15)</f>
        <v>20641558</v>
      </c>
      <c r="H15" s="207" t="s">
        <v>60</v>
      </c>
      <c r="I15" s="271"/>
    </row>
    <row r="16" spans="1:14" x14ac:dyDescent="0.35">
      <c r="B16" s="271"/>
      <c r="C16" s="204" t="s">
        <v>496</v>
      </c>
      <c r="D16" s="226">
        <v>6720888</v>
      </c>
      <c r="E16" s="226">
        <v>438706</v>
      </c>
      <c r="F16" s="226">
        <v>11654614</v>
      </c>
      <c r="G16" s="226">
        <f>SUM(D16:F16)</f>
        <v>18814208</v>
      </c>
      <c r="H16" s="208" t="s">
        <v>55</v>
      </c>
      <c r="I16" s="271"/>
    </row>
    <row r="17" spans="2:9" x14ac:dyDescent="0.35">
      <c r="B17" s="271"/>
      <c r="C17" s="206" t="s">
        <v>497</v>
      </c>
      <c r="D17" s="225">
        <v>4976585</v>
      </c>
      <c r="E17" s="225">
        <v>175312</v>
      </c>
      <c r="F17" s="225">
        <v>11553259</v>
      </c>
      <c r="G17" s="217">
        <f>SUM(D17:F17)</f>
        <v>16705156</v>
      </c>
      <c r="H17" s="205" t="s">
        <v>492</v>
      </c>
      <c r="I17" s="271"/>
    </row>
    <row r="18" spans="2:9" x14ac:dyDescent="0.35">
      <c r="B18" s="271"/>
      <c r="C18" s="206" t="s">
        <v>522</v>
      </c>
      <c r="D18" s="225">
        <v>455870</v>
      </c>
      <c r="E18" s="225">
        <v>207175</v>
      </c>
      <c r="F18" s="225">
        <v>46028</v>
      </c>
      <c r="G18" s="217">
        <f>SUM(D18:F18)</f>
        <v>709073</v>
      </c>
      <c r="H18" s="205" t="s">
        <v>499</v>
      </c>
      <c r="I18" s="271"/>
    </row>
    <row r="19" spans="2:9" x14ac:dyDescent="0.35">
      <c r="B19" s="271"/>
      <c r="C19" s="206" t="s">
        <v>523</v>
      </c>
      <c r="D19" s="225">
        <f>D16-SUM(D17:D18)</f>
        <v>1288433</v>
      </c>
      <c r="E19" s="225">
        <f>E16-SUM(E17:E18)</f>
        <v>56219</v>
      </c>
      <c r="F19" s="225">
        <f>F16-SUM(F17:F18)</f>
        <v>55327</v>
      </c>
      <c r="G19" s="217">
        <f>SUM(D19:F19)</f>
        <v>1399979</v>
      </c>
      <c r="H19" s="205" t="s">
        <v>494</v>
      </c>
      <c r="I19" s="271"/>
    </row>
    <row r="20" spans="2:9" x14ac:dyDescent="0.35">
      <c r="B20" s="271"/>
      <c r="C20" s="204" t="s">
        <v>402</v>
      </c>
      <c r="D20" s="226">
        <v>13644380</v>
      </c>
      <c r="E20" s="226">
        <v>4997649</v>
      </c>
      <c r="F20" s="311">
        <v>14145</v>
      </c>
      <c r="G20" s="226">
        <f>SUM(D20:F20)</f>
        <v>18656174</v>
      </c>
      <c r="H20" s="207" t="s">
        <v>51</v>
      </c>
      <c r="I20" s="271"/>
    </row>
    <row r="21" spans="2:9" x14ac:dyDescent="0.35">
      <c r="B21" s="271"/>
      <c r="C21" s="204" t="s">
        <v>396</v>
      </c>
      <c r="D21" s="226">
        <v>7333549</v>
      </c>
      <c r="E21" s="226">
        <v>157518</v>
      </c>
      <c r="F21" s="226">
        <v>5737</v>
      </c>
      <c r="G21" s="226">
        <f>SUM(D21:F21)</f>
        <v>7496804</v>
      </c>
      <c r="H21" s="204" t="s">
        <v>49</v>
      </c>
      <c r="I21" s="271"/>
    </row>
    <row r="22" spans="2:9" x14ac:dyDescent="0.35">
      <c r="B22" s="271"/>
      <c r="C22" s="204" t="s">
        <v>488</v>
      </c>
      <c r="D22" s="226">
        <v>4872445</v>
      </c>
      <c r="E22" s="226">
        <v>317393</v>
      </c>
      <c r="F22" s="226">
        <v>40944</v>
      </c>
      <c r="G22" s="226">
        <f>SUM(D22:F22)</f>
        <v>5230782</v>
      </c>
      <c r="H22" s="204" t="s">
        <v>59</v>
      </c>
      <c r="I22" s="271"/>
    </row>
    <row r="23" spans="2:9" x14ac:dyDescent="0.35">
      <c r="B23" s="271"/>
      <c r="C23" s="204" t="s">
        <v>411</v>
      </c>
      <c r="D23" s="226">
        <v>3090364</v>
      </c>
      <c r="E23" s="226">
        <v>154079</v>
      </c>
      <c r="F23" s="226">
        <v>45367</v>
      </c>
      <c r="G23" s="226">
        <f>SUM(D23:F23)</f>
        <v>3289810</v>
      </c>
      <c r="H23" s="204" t="s">
        <v>61</v>
      </c>
      <c r="I23" s="271"/>
    </row>
    <row r="24" spans="2:9" x14ac:dyDescent="0.35">
      <c r="B24" s="271"/>
      <c r="C24" s="204" t="s">
        <v>404</v>
      </c>
      <c r="D24" s="226">
        <v>2936373</v>
      </c>
      <c r="E24" s="226">
        <v>13342</v>
      </c>
      <c r="F24" s="226">
        <v>6237</v>
      </c>
      <c r="G24" s="226">
        <f>SUM(D24:F24)</f>
        <v>2955952</v>
      </c>
      <c r="H24" s="204" t="s">
        <v>53</v>
      </c>
      <c r="I24" s="271"/>
    </row>
    <row r="25" spans="2:9" x14ac:dyDescent="0.35">
      <c r="B25" s="271"/>
      <c r="C25" s="204" t="s">
        <v>403</v>
      </c>
      <c r="D25" s="226">
        <v>1840798</v>
      </c>
      <c r="E25" s="226">
        <v>326193</v>
      </c>
      <c r="F25" s="226">
        <v>45151</v>
      </c>
      <c r="G25" s="226">
        <f>SUM(D25:F25)</f>
        <v>2212142</v>
      </c>
      <c r="H25" s="204" t="s">
        <v>52</v>
      </c>
      <c r="I25" s="271"/>
    </row>
    <row r="26" spans="2:9" x14ac:dyDescent="0.35">
      <c r="B26" s="271"/>
      <c r="C26" s="204" t="s">
        <v>409</v>
      </c>
      <c r="D26" s="226">
        <v>1089552</v>
      </c>
      <c r="E26" s="226">
        <v>527982</v>
      </c>
      <c r="F26" s="226">
        <v>0</v>
      </c>
      <c r="G26" s="226">
        <f>SUM(D26:F26)</f>
        <v>1617534</v>
      </c>
      <c r="H26" s="204" t="s">
        <v>58</v>
      </c>
      <c r="I26" s="271"/>
    </row>
    <row r="27" spans="2:9" x14ac:dyDescent="0.35">
      <c r="B27" s="271"/>
      <c r="C27" s="204" t="s">
        <v>405</v>
      </c>
      <c r="D27" s="226">
        <v>1159397</v>
      </c>
      <c r="E27" s="226">
        <v>330985</v>
      </c>
      <c r="F27" s="226">
        <v>2106</v>
      </c>
      <c r="G27" s="226">
        <f>SUM(D27:F27)</f>
        <v>1492488</v>
      </c>
      <c r="H27" s="204" t="s">
        <v>54</v>
      </c>
      <c r="I27" s="271"/>
    </row>
    <row r="28" spans="2:9" x14ac:dyDescent="0.35">
      <c r="B28" s="271"/>
      <c r="C28" s="204" t="s">
        <v>408</v>
      </c>
      <c r="D28" s="226">
        <v>1259012</v>
      </c>
      <c r="E28" s="226">
        <v>24347</v>
      </c>
      <c r="F28" s="226">
        <v>3271</v>
      </c>
      <c r="G28" s="226">
        <f>SUM(D28:F28)</f>
        <v>1286630</v>
      </c>
      <c r="H28" s="204" t="s">
        <v>57</v>
      </c>
      <c r="I28" s="271"/>
    </row>
    <row r="29" spans="2:9" x14ac:dyDescent="0.35">
      <c r="B29" s="271"/>
      <c r="C29" s="218" t="s">
        <v>489</v>
      </c>
      <c r="D29" s="226">
        <v>1126723</v>
      </c>
      <c r="E29" s="310">
        <v>8111</v>
      </c>
      <c r="F29" s="310">
        <v>186</v>
      </c>
      <c r="G29" s="226">
        <f>SUM(D29:F29)</f>
        <v>1135020</v>
      </c>
      <c r="H29" s="218" t="s">
        <v>50</v>
      </c>
      <c r="I29" s="271"/>
    </row>
    <row r="30" spans="2:9" x14ac:dyDescent="0.35">
      <c r="B30" s="271"/>
      <c r="C30" s="219" t="s">
        <v>82</v>
      </c>
      <c r="D30" s="227">
        <f>SUM(D20:D29,D15:D16,D10)</f>
        <v>86157359</v>
      </c>
      <c r="E30" s="227">
        <f>SUM(E20:E29,E15:E16,E10)</f>
        <v>29727538</v>
      </c>
      <c r="F30" s="314" t="s">
        <v>98</v>
      </c>
      <c r="G30" s="313"/>
      <c r="H30" s="312"/>
      <c r="I30" s="271"/>
    </row>
    <row r="31" spans="2:9" x14ac:dyDescent="0.35">
      <c r="B31" s="271"/>
      <c r="C31" s="219" t="s">
        <v>501</v>
      </c>
      <c r="D31" s="292">
        <f>SUM(D30:E30)</f>
        <v>115884897</v>
      </c>
      <c r="E31" s="293"/>
      <c r="F31" s="294" t="s">
        <v>511</v>
      </c>
      <c r="G31" s="295"/>
      <c r="H31" s="296"/>
      <c r="I31" s="271"/>
    </row>
    <row r="32" spans="2:9" ht="15.5" x14ac:dyDescent="0.35">
      <c r="C32" s="214"/>
      <c r="D32" s="215"/>
      <c r="E32" s="215"/>
      <c r="F32" s="216"/>
      <c r="G32" s="215"/>
      <c r="H32" s="215"/>
    </row>
    <row r="33" spans="2:9" x14ac:dyDescent="0.35">
      <c r="B33" s="271">
        <v>2025</v>
      </c>
      <c r="C33" s="290" t="s">
        <v>485</v>
      </c>
      <c r="D33" s="222" t="s">
        <v>515</v>
      </c>
      <c r="E33" s="224" t="s">
        <v>516</v>
      </c>
      <c r="F33" s="224" t="s">
        <v>495</v>
      </c>
      <c r="G33" s="223" t="s">
        <v>486</v>
      </c>
      <c r="H33" s="291" t="s">
        <v>490</v>
      </c>
      <c r="I33" s="271">
        <v>2025</v>
      </c>
    </row>
    <row r="34" spans="2:9" x14ac:dyDescent="0.35">
      <c r="B34" s="271"/>
      <c r="C34" s="290"/>
      <c r="D34" s="222" t="s">
        <v>503</v>
      </c>
      <c r="E34" s="224" t="s">
        <v>502</v>
      </c>
      <c r="F34" s="224" t="s">
        <v>517</v>
      </c>
      <c r="G34" s="223" t="s">
        <v>98</v>
      </c>
      <c r="H34" s="291"/>
      <c r="I34" s="271"/>
    </row>
    <row r="35" spans="2:9" x14ac:dyDescent="0.35">
      <c r="B35" s="271"/>
      <c r="C35" s="221" t="s">
        <v>407</v>
      </c>
      <c r="D35" s="226">
        <v>28636256</v>
      </c>
      <c r="E35" s="226">
        <v>20427932</v>
      </c>
      <c r="F35" s="226">
        <v>2031447</v>
      </c>
      <c r="G35" s="226">
        <f>SUM(D35:F35)</f>
        <v>51095635</v>
      </c>
      <c r="H35" s="220" t="s">
        <v>56</v>
      </c>
      <c r="I35" s="271"/>
    </row>
    <row r="36" spans="2:9" x14ac:dyDescent="0.35">
      <c r="B36" s="271"/>
      <c r="C36" s="206" t="s">
        <v>487</v>
      </c>
      <c r="D36" s="225">
        <v>11257981</v>
      </c>
      <c r="E36" s="225">
        <v>18939344</v>
      </c>
      <c r="F36" s="225">
        <v>260345</v>
      </c>
      <c r="G36" s="217">
        <f>SUM(D36:F36)</f>
        <v>30457670</v>
      </c>
      <c r="H36" s="205" t="s">
        <v>491</v>
      </c>
      <c r="I36" s="271"/>
    </row>
    <row r="37" spans="2:9" x14ac:dyDescent="0.35">
      <c r="B37" s="271"/>
      <c r="C37" s="206" t="s">
        <v>519</v>
      </c>
      <c r="D37" s="225">
        <v>10418215</v>
      </c>
      <c r="E37" s="225">
        <v>1422465</v>
      </c>
      <c r="F37" s="225">
        <v>1662717</v>
      </c>
      <c r="G37" s="217">
        <f>SUM(D37:F37)</f>
        <v>13503397</v>
      </c>
      <c r="H37" s="205" t="s">
        <v>498</v>
      </c>
      <c r="I37" s="271"/>
    </row>
    <row r="38" spans="2:9" x14ac:dyDescent="0.35">
      <c r="B38" s="271"/>
      <c r="C38" s="206" t="s">
        <v>520</v>
      </c>
      <c r="D38" s="225">
        <v>3192570</v>
      </c>
      <c r="E38" s="225">
        <v>58328</v>
      </c>
      <c r="F38" s="225">
        <v>101685</v>
      </c>
      <c r="G38" s="217">
        <f>SUM(D38:F38)</f>
        <v>3352583</v>
      </c>
      <c r="H38" s="205" t="s">
        <v>507</v>
      </c>
      <c r="I38" s="271"/>
    </row>
    <row r="39" spans="2:9" x14ac:dyDescent="0.35">
      <c r="B39" s="271"/>
      <c r="C39" s="206" t="s">
        <v>521</v>
      </c>
      <c r="D39" s="225">
        <f>D35-SUM(D36:D38)</f>
        <v>3767490</v>
      </c>
      <c r="E39" s="225">
        <f>E35-SUM(E36:E38)</f>
        <v>7795</v>
      </c>
      <c r="F39" s="225">
        <f>F35-SUM(F36:F38)</f>
        <v>6700</v>
      </c>
      <c r="G39" s="217">
        <f>SUM(D39:F39)</f>
        <v>3781985</v>
      </c>
      <c r="H39" s="205" t="s">
        <v>493</v>
      </c>
      <c r="I39" s="271"/>
    </row>
    <row r="40" spans="2:9" x14ac:dyDescent="0.35">
      <c r="B40" s="271"/>
      <c r="C40" s="204" t="s">
        <v>410</v>
      </c>
      <c r="D40" s="226">
        <v>21766298</v>
      </c>
      <c r="E40" s="226">
        <v>2316513</v>
      </c>
      <c r="F40" s="226">
        <v>229926</v>
      </c>
      <c r="G40" s="226">
        <f>SUM(D40:F40)</f>
        <v>24312737</v>
      </c>
      <c r="H40" s="207" t="s">
        <v>60</v>
      </c>
      <c r="I40" s="271"/>
    </row>
    <row r="41" spans="2:9" x14ac:dyDescent="0.35">
      <c r="B41" s="271"/>
      <c r="C41" s="204" t="s">
        <v>496</v>
      </c>
      <c r="D41" s="226">
        <v>6500955</v>
      </c>
      <c r="E41" s="226">
        <v>754214</v>
      </c>
      <c r="F41" s="226">
        <v>13119602</v>
      </c>
      <c r="G41" s="226">
        <f>SUM(D41:F41)</f>
        <v>20374771</v>
      </c>
      <c r="H41" s="208" t="s">
        <v>55</v>
      </c>
      <c r="I41" s="271"/>
    </row>
    <row r="42" spans="2:9" x14ac:dyDescent="0.35">
      <c r="B42" s="271"/>
      <c r="C42" s="206" t="s">
        <v>497</v>
      </c>
      <c r="D42" s="225">
        <v>4815180</v>
      </c>
      <c r="E42" s="225">
        <v>314831</v>
      </c>
      <c r="F42" s="225">
        <v>12929682</v>
      </c>
      <c r="G42" s="225">
        <f>SUM(D42:F42)</f>
        <v>18059693</v>
      </c>
      <c r="H42" s="205" t="s">
        <v>492</v>
      </c>
      <c r="I42" s="271"/>
    </row>
    <row r="43" spans="2:9" x14ac:dyDescent="0.35">
      <c r="B43" s="271"/>
      <c r="C43" s="206" t="s">
        <v>522</v>
      </c>
      <c r="D43" s="225">
        <v>375598</v>
      </c>
      <c r="E43" s="225">
        <v>311521</v>
      </c>
      <c r="F43" s="225">
        <v>2681</v>
      </c>
      <c r="G43" s="225">
        <f>SUM(D43:F43)</f>
        <v>689800</v>
      </c>
      <c r="H43" s="205" t="s">
        <v>499</v>
      </c>
      <c r="I43" s="271"/>
    </row>
    <row r="44" spans="2:9" x14ac:dyDescent="0.35">
      <c r="B44" s="271"/>
      <c r="C44" s="206" t="s">
        <v>523</v>
      </c>
      <c r="D44" s="225">
        <f>D41-SUM(D42:D43)</f>
        <v>1310177</v>
      </c>
      <c r="E44" s="225">
        <f>E41-SUM(E42:E43)</f>
        <v>127862</v>
      </c>
      <c r="F44" s="225">
        <f>F41-SUM(F42:F43)</f>
        <v>187239</v>
      </c>
      <c r="G44" s="225">
        <f>SUM(D44:F44)</f>
        <v>1625278</v>
      </c>
      <c r="H44" s="205" t="s">
        <v>494</v>
      </c>
      <c r="I44" s="271"/>
    </row>
    <row r="45" spans="2:9" x14ac:dyDescent="0.35">
      <c r="B45" s="271"/>
      <c r="C45" s="204" t="s">
        <v>402</v>
      </c>
      <c r="D45" s="226">
        <v>12965309</v>
      </c>
      <c r="E45" s="226">
        <v>3605978</v>
      </c>
      <c r="F45" s="311">
        <v>32019</v>
      </c>
      <c r="G45" s="226">
        <f>SUM(D45:F45)</f>
        <v>16603306</v>
      </c>
      <c r="H45" s="207" t="s">
        <v>51</v>
      </c>
      <c r="I45" s="271"/>
    </row>
    <row r="46" spans="2:9" x14ac:dyDescent="0.35">
      <c r="B46" s="271"/>
      <c r="C46" s="204" t="s">
        <v>396</v>
      </c>
      <c r="D46" s="226">
        <v>5906566</v>
      </c>
      <c r="E46" s="226">
        <v>260281</v>
      </c>
      <c r="F46" s="226">
        <v>45827</v>
      </c>
      <c r="G46" s="226">
        <f>SUM(D46:F46)</f>
        <v>6212674</v>
      </c>
      <c r="H46" s="204" t="s">
        <v>49</v>
      </c>
      <c r="I46" s="271"/>
    </row>
    <row r="47" spans="2:9" x14ac:dyDescent="0.35">
      <c r="B47" s="271"/>
      <c r="C47" s="204" t="s">
        <v>488</v>
      </c>
      <c r="D47" s="226">
        <v>3281654</v>
      </c>
      <c r="E47" s="226">
        <v>283199</v>
      </c>
      <c r="F47" s="226">
        <v>14189</v>
      </c>
      <c r="G47" s="226">
        <f>SUM(D47:F47)</f>
        <v>3579042</v>
      </c>
      <c r="H47" s="204" t="s">
        <v>59</v>
      </c>
      <c r="I47" s="271"/>
    </row>
    <row r="48" spans="2:9" x14ac:dyDescent="0.35">
      <c r="B48" s="271"/>
      <c r="C48" s="204" t="s">
        <v>411</v>
      </c>
      <c r="D48" s="226">
        <v>2611081</v>
      </c>
      <c r="E48" s="226">
        <v>367691</v>
      </c>
      <c r="F48" s="226">
        <v>23137</v>
      </c>
      <c r="G48" s="226">
        <f>SUM(D48:F48)</f>
        <v>3001909</v>
      </c>
      <c r="H48" s="204" t="s">
        <v>61</v>
      </c>
      <c r="I48" s="271"/>
    </row>
    <row r="49" spans="2:9" x14ac:dyDescent="0.35">
      <c r="B49" s="271"/>
      <c r="C49" s="204" t="s">
        <v>404</v>
      </c>
      <c r="D49" s="226">
        <v>4274399</v>
      </c>
      <c r="E49" s="226">
        <v>13618</v>
      </c>
      <c r="F49" s="226">
        <v>59941</v>
      </c>
      <c r="G49" s="226">
        <f>SUM(D49:F49)</f>
        <v>4347958</v>
      </c>
      <c r="H49" s="204" t="s">
        <v>53</v>
      </c>
      <c r="I49" s="271"/>
    </row>
    <row r="50" spans="2:9" x14ac:dyDescent="0.35">
      <c r="B50" s="271"/>
      <c r="C50" s="204" t="s">
        <v>403</v>
      </c>
      <c r="D50" s="226">
        <v>2269876</v>
      </c>
      <c r="E50" s="226">
        <v>230714</v>
      </c>
      <c r="F50" s="226">
        <v>16771</v>
      </c>
      <c r="G50" s="226">
        <f>SUM(D50:F50)</f>
        <v>2517361</v>
      </c>
      <c r="H50" s="204" t="s">
        <v>52</v>
      </c>
      <c r="I50" s="271"/>
    </row>
    <row r="51" spans="2:9" x14ac:dyDescent="0.35">
      <c r="B51" s="271"/>
      <c r="C51" s="204" t="s">
        <v>409</v>
      </c>
      <c r="D51" s="226">
        <v>1083718</v>
      </c>
      <c r="E51" s="226">
        <v>448770</v>
      </c>
      <c r="F51" s="226">
        <v>598</v>
      </c>
      <c r="G51" s="226">
        <f>SUM(D51:F51)</f>
        <v>1533086</v>
      </c>
      <c r="H51" s="204" t="s">
        <v>58</v>
      </c>
      <c r="I51" s="271"/>
    </row>
    <row r="52" spans="2:9" x14ac:dyDescent="0.35">
      <c r="B52" s="271"/>
      <c r="C52" s="204" t="s">
        <v>405</v>
      </c>
      <c r="D52" s="226">
        <v>1602833</v>
      </c>
      <c r="E52" s="226">
        <v>458485</v>
      </c>
      <c r="F52" s="226">
        <v>1587</v>
      </c>
      <c r="G52" s="226">
        <f>SUM(D52:F52)</f>
        <v>2062905</v>
      </c>
      <c r="H52" s="204" t="s">
        <v>54</v>
      </c>
      <c r="I52" s="271"/>
    </row>
    <row r="53" spans="2:9" x14ac:dyDescent="0.35">
      <c r="B53" s="271"/>
      <c r="C53" s="204" t="s">
        <v>408</v>
      </c>
      <c r="D53" s="226">
        <v>1291746</v>
      </c>
      <c r="E53" s="226">
        <v>81566</v>
      </c>
      <c r="F53" s="226">
        <v>26022</v>
      </c>
      <c r="G53" s="226">
        <f>SUM(D53:F53)</f>
        <v>1399334</v>
      </c>
      <c r="H53" s="204" t="s">
        <v>57</v>
      </c>
      <c r="I53" s="271"/>
    </row>
    <row r="54" spans="2:9" x14ac:dyDescent="0.35">
      <c r="B54" s="271"/>
      <c r="C54" s="218" t="s">
        <v>489</v>
      </c>
      <c r="D54" s="226">
        <v>1132822</v>
      </c>
      <c r="E54" s="310">
        <v>5824</v>
      </c>
      <c r="F54" s="310">
        <v>5186</v>
      </c>
      <c r="G54" s="226">
        <f>SUM(D54:F54)</f>
        <v>1143832</v>
      </c>
      <c r="H54" s="218" t="s">
        <v>50</v>
      </c>
      <c r="I54" s="271"/>
    </row>
    <row r="55" spans="2:9" x14ac:dyDescent="0.35">
      <c r="B55" s="271"/>
      <c r="C55" s="219" t="s">
        <v>82</v>
      </c>
      <c r="D55" s="227">
        <f>SUM(D45:D54,D40:D41,D35)</f>
        <v>93323513</v>
      </c>
      <c r="E55" s="227">
        <f>SUM(E45:E54,E40:E41,E35)</f>
        <v>29254785</v>
      </c>
      <c r="F55" s="294" t="s">
        <v>98</v>
      </c>
      <c r="G55" s="295"/>
      <c r="H55" s="296"/>
      <c r="I55" s="271"/>
    </row>
    <row r="56" spans="2:9" x14ac:dyDescent="0.35">
      <c r="B56" s="271"/>
      <c r="C56" s="219" t="s">
        <v>501</v>
      </c>
      <c r="D56" s="292">
        <f>SUM(D55:E55)</f>
        <v>122578298</v>
      </c>
      <c r="E56" s="293"/>
      <c r="F56" s="294" t="s">
        <v>511</v>
      </c>
      <c r="G56" s="295"/>
      <c r="H56" s="296"/>
      <c r="I56" s="271"/>
    </row>
    <row r="57" spans="2:9" ht="16" thickBot="1" x14ac:dyDescent="0.4">
      <c r="C57" s="214"/>
      <c r="D57" s="215"/>
      <c r="E57" s="308"/>
      <c r="F57" s="307"/>
      <c r="G57" s="215"/>
      <c r="H57" s="215"/>
    </row>
    <row r="58" spans="2:9" x14ac:dyDescent="0.35">
      <c r="C58" s="297" t="s">
        <v>504</v>
      </c>
      <c r="D58" s="215"/>
      <c r="E58" s="308"/>
      <c r="F58" s="309"/>
      <c r="G58" s="215"/>
      <c r="H58" s="297" t="s">
        <v>505</v>
      </c>
    </row>
    <row r="59" spans="2:9" ht="15.5" x14ac:dyDescent="0.35">
      <c r="C59" s="298"/>
      <c r="D59" s="215"/>
      <c r="E59" s="308"/>
      <c r="F59" s="307"/>
      <c r="G59" s="215"/>
      <c r="H59" s="298"/>
    </row>
    <row r="60" spans="2:9" ht="15.5" x14ac:dyDescent="0.35">
      <c r="C60" s="298"/>
      <c r="D60" s="215"/>
      <c r="E60" s="308"/>
      <c r="F60" s="307"/>
      <c r="G60" s="215"/>
      <c r="H60" s="298"/>
    </row>
    <row r="61" spans="2:9" x14ac:dyDescent="0.35">
      <c r="C61" s="298"/>
      <c r="D61" s="215"/>
      <c r="E61" s="309"/>
      <c r="F61" s="308"/>
      <c r="G61" s="215"/>
      <c r="H61" s="298"/>
    </row>
    <row r="62" spans="2:9" ht="15.5" x14ac:dyDescent="0.35">
      <c r="C62" s="298"/>
      <c r="D62" s="215"/>
      <c r="E62" s="308"/>
      <c r="F62" s="307"/>
      <c r="G62" s="215"/>
      <c r="H62" s="298"/>
    </row>
    <row r="63" spans="2:9" ht="15.5" x14ac:dyDescent="0.35">
      <c r="C63" s="298"/>
      <c r="D63" s="215"/>
      <c r="E63" s="308"/>
      <c r="F63" s="307"/>
      <c r="G63" s="215"/>
      <c r="H63" s="298"/>
    </row>
    <row r="64" spans="2:9" ht="15.5" x14ac:dyDescent="0.35">
      <c r="C64" s="298"/>
      <c r="D64" s="215"/>
      <c r="E64" s="308"/>
      <c r="F64" s="307"/>
      <c r="G64" s="215"/>
      <c r="H64" s="298"/>
    </row>
    <row r="65" spans="3:8" ht="15.5" x14ac:dyDescent="0.35">
      <c r="C65" s="298"/>
      <c r="D65" s="215"/>
      <c r="E65" s="215"/>
      <c r="F65" s="216"/>
      <c r="G65" s="215"/>
      <c r="H65" s="298"/>
    </row>
    <row r="66" spans="3:8" ht="16" thickBot="1" x14ac:dyDescent="0.4">
      <c r="C66" s="299"/>
      <c r="D66" s="215"/>
      <c r="E66" s="215"/>
      <c r="F66" s="216"/>
      <c r="G66" s="215"/>
      <c r="H66" s="299"/>
    </row>
    <row r="67" spans="3:8" ht="15.5" x14ac:dyDescent="0.35">
      <c r="C67" s="214"/>
      <c r="D67" s="215"/>
      <c r="E67" s="215"/>
      <c r="F67" s="216"/>
      <c r="G67" s="215"/>
      <c r="H67" s="215"/>
    </row>
    <row r="68" spans="3:8" x14ac:dyDescent="0.35">
      <c r="C68" s="43"/>
    </row>
    <row r="69" spans="3:8" ht="14.65" customHeight="1" x14ac:dyDescent="0.35">
      <c r="D69" s="43"/>
    </row>
    <row r="70" spans="3:8" ht="14.65" customHeight="1" x14ac:dyDescent="0.35">
      <c r="D70" s="43"/>
    </row>
    <row r="71" spans="3:8" ht="14.65" customHeight="1" x14ac:dyDescent="0.35">
      <c r="D71" s="43"/>
    </row>
    <row r="72" spans="3:8" ht="14.65" customHeight="1" x14ac:dyDescent="0.35">
      <c r="D72" s="43"/>
    </row>
    <row r="73" spans="3:8" ht="14.65" customHeight="1" x14ac:dyDescent="0.35"/>
    <row r="74" spans="3:8" ht="14.65" customHeight="1" x14ac:dyDescent="0.35"/>
    <row r="75" spans="3:8" ht="14.65" customHeight="1" x14ac:dyDescent="0.35"/>
    <row r="76" spans="3:8" ht="14.65" customHeight="1" x14ac:dyDescent="0.35"/>
    <row r="79" spans="3:8" ht="14.65" customHeight="1" x14ac:dyDescent="0.35"/>
    <row r="80" spans="3:8" ht="14.65" customHeight="1" x14ac:dyDescent="0.35"/>
    <row r="81" customFormat="1" ht="14.65" customHeight="1" x14ac:dyDescent="0.35"/>
    <row r="82" customFormat="1" ht="14.65" customHeight="1" x14ac:dyDescent="0.35"/>
    <row r="83" customFormat="1" ht="14.65" customHeight="1" x14ac:dyDescent="0.35"/>
    <row r="84" customFormat="1" ht="14.65" customHeight="1" x14ac:dyDescent="0.35"/>
  </sheetData>
  <mergeCells count="18">
    <mergeCell ref="F55:H55"/>
    <mergeCell ref="D56:E56"/>
    <mergeCell ref="F56:H56"/>
    <mergeCell ref="B8:B31"/>
    <mergeCell ref="I8:I31"/>
    <mergeCell ref="H58:H66"/>
    <mergeCell ref="C58:C66"/>
    <mergeCell ref="B33:B56"/>
    <mergeCell ref="C33:C34"/>
    <mergeCell ref="H33:H34"/>
    <mergeCell ref="I33:I56"/>
    <mergeCell ref="E6:F6"/>
    <mergeCell ref="E7:F7"/>
    <mergeCell ref="C8:C9"/>
    <mergeCell ref="H8:H9"/>
    <mergeCell ref="D31:E31"/>
    <mergeCell ref="F30:H30"/>
    <mergeCell ref="F31:H3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E29"/>
  <sheetViews>
    <sheetView showGridLines="0" zoomScale="73" zoomScaleNormal="80" workbookViewId="0">
      <selection activeCell="D16" sqref="D16"/>
    </sheetView>
  </sheetViews>
  <sheetFormatPr defaultRowHeight="14.5" x14ac:dyDescent="0.35"/>
  <cols>
    <col min="2" max="2" width="40.453125" style="3" bestFit="1" customWidth="1"/>
    <col min="3" max="3" width="53.453125" style="1" customWidth="1"/>
    <col min="4" max="4" width="53.453125" customWidth="1"/>
    <col min="5" max="5" width="35.1796875" style="4" bestFit="1" customWidth="1"/>
  </cols>
  <sheetData>
    <row r="2" spans="2:5" s="2" customFormat="1" ht="23.65" customHeight="1" x14ac:dyDescent="0.35">
      <c r="B2" s="150" t="s">
        <v>144</v>
      </c>
      <c r="C2" s="113"/>
      <c r="D2" s="114"/>
      <c r="E2" s="151" t="s">
        <v>145</v>
      </c>
    </row>
    <row r="3" spans="2:5" x14ac:dyDescent="0.35">
      <c r="B3" s="152"/>
      <c r="C3" s="153"/>
      <c r="D3" s="154"/>
      <c r="E3" s="155"/>
    </row>
    <row r="4" spans="2:5" ht="27.75" customHeight="1" x14ac:dyDescent="0.35">
      <c r="B4" s="156" t="s">
        <v>146</v>
      </c>
      <c r="C4" s="157" t="s">
        <v>147</v>
      </c>
      <c r="D4" s="158" t="s">
        <v>148</v>
      </c>
      <c r="E4" s="159" t="s">
        <v>149</v>
      </c>
    </row>
    <row r="5" spans="2:5" ht="42.75" customHeight="1" x14ac:dyDescent="0.35">
      <c r="B5" s="164" t="s">
        <v>150</v>
      </c>
      <c r="C5" s="165" t="s">
        <v>151</v>
      </c>
      <c r="D5" s="166" t="s">
        <v>152</v>
      </c>
      <c r="E5" s="167" t="s">
        <v>153</v>
      </c>
    </row>
    <row r="6" spans="2:5" ht="42.75" customHeight="1" x14ac:dyDescent="0.35">
      <c r="B6" s="160" t="s">
        <v>508</v>
      </c>
      <c r="C6" s="161" t="s">
        <v>504</v>
      </c>
      <c r="D6" s="162" t="s">
        <v>505</v>
      </c>
      <c r="E6" s="163" t="s">
        <v>509</v>
      </c>
    </row>
    <row r="7" spans="2:5" ht="50.65" customHeight="1" x14ac:dyDescent="0.35">
      <c r="B7" s="164" t="s">
        <v>154</v>
      </c>
      <c r="C7" s="165" t="s">
        <v>155</v>
      </c>
      <c r="D7" s="166" t="s">
        <v>156</v>
      </c>
      <c r="E7" s="167" t="s">
        <v>46</v>
      </c>
    </row>
    <row r="8" spans="2:5" ht="54" customHeight="1" x14ac:dyDescent="0.35">
      <c r="B8" s="160" t="s">
        <v>157</v>
      </c>
      <c r="C8" s="161" t="s">
        <v>158</v>
      </c>
      <c r="D8" s="162" t="s">
        <v>289</v>
      </c>
      <c r="E8" s="163" t="s">
        <v>45</v>
      </c>
    </row>
    <row r="9" spans="2:5" ht="64.5" customHeight="1" x14ac:dyDescent="0.35">
      <c r="B9" s="164" t="s">
        <v>159</v>
      </c>
      <c r="C9" s="165" t="s">
        <v>160</v>
      </c>
      <c r="D9" s="166" t="s">
        <v>290</v>
      </c>
      <c r="E9" s="167" t="s">
        <v>47</v>
      </c>
    </row>
    <row r="10" spans="2:5" ht="50.25" customHeight="1" x14ac:dyDescent="0.35">
      <c r="B10" s="160" t="s">
        <v>161</v>
      </c>
      <c r="C10" s="161" t="s">
        <v>162</v>
      </c>
      <c r="D10" s="162" t="s">
        <v>181</v>
      </c>
      <c r="E10" s="163" t="s">
        <v>48</v>
      </c>
    </row>
    <row r="11" spans="2:5" ht="217.5" x14ac:dyDescent="0.35">
      <c r="B11" s="164" t="s">
        <v>189</v>
      </c>
      <c r="C11" s="165" t="s">
        <v>187</v>
      </c>
      <c r="D11" s="166" t="s">
        <v>291</v>
      </c>
      <c r="E11" s="167" t="s">
        <v>188</v>
      </c>
    </row>
    <row r="12" spans="2:5" ht="48" customHeight="1" x14ac:dyDescent="0.35">
      <c r="B12" s="164" t="s">
        <v>163</v>
      </c>
      <c r="C12" s="165" t="s">
        <v>180</v>
      </c>
      <c r="D12" s="166" t="s">
        <v>179</v>
      </c>
      <c r="E12" s="167" t="s">
        <v>190</v>
      </c>
    </row>
    <row r="13" spans="2:5" ht="37.5" customHeight="1" x14ac:dyDescent="0.35">
      <c r="B13" s="160" t="s">
        <v>167</v>
      </c>
      <c r="C13" s="161" t="s">
        <v>168</v>
      </c>
      <c r="D13" s="162" t="s">
        <v>182</v>
      </c>
      <c r="E13" s="163" t="s">
        <v>191</v>
      </c>
    </row>
    <row r="14" spans="2:5" ht="92.25" customHeight="1" x14ac:dyDescent="0.35">
      <c r="B14" s="164" t="s">
        <v>164</v>
      </c>
      <c r="C14" s="165" t="s">
        <v>165</v>
      </c>
      <c r="D14" s="166" t="s">
        <v>184</v>
      </c>
      <c r="E14" s="167" t="s">
        <v>22</v>
      </c>
    </row>
    <row r="15" spans="2:5" ht="90" customHeight="1" x14ac:dyDescent="0.35">
      <c r="B15" s="160" t="s">
        <v>166</v>
      </c>
      <c r="C15" s="161" t="s">
        <v>183</v>
      </c>
      <c r="D15" s="162" t="s">
        <v>176</v>
      </c>
      <c r="E15" s="163" t="s">
        <v>192</v>
      </c>
    </row>
    <row r="16" spans="2:5" ht="36" customHeight="1" x14ac:dyDescent="0.35">
      <c r="B16" s="164" t="s">
        <v>169</v>
      </c>
      <c r="C16" s="165" t="s">
        <v>178</v>
      </c>
      <c r="D16" s="166" t="s">
        <v>177</v>
      </c>
      <c r="E16" s="167" t="s">
        <v>193</v>
      </c>
    </row>
    <row r="17" spans="2:5" ht="45.75" customHeight="1" x14ac:dyDescent="0.35">
      <c r="B17" s="160" t="s">
        <v>170</v>
      </c>
      <c r="C17" s="161" t="s">
        <v>171</v>
      </c>
      <c r="D17" s="162" t="s">
        <v>185</v>
      </c>
      <c r="E17" s="163" t="s">
        <v>194</v>
      </c>
    </row>
    <row r="18" spans="2:5" ht="51" customHeight="1" x14ac:dyDescent="0.35">
      <c r="B18" s="164" t="s">
        <v>172</v>
      </c>
      <c r="C18" s="165" t="s">
        <v>173</v>
      </c>
      <c r="D18" s="166" t="s">
        <v>292</v>
      </c>
      <c r="E18" s="167" t="s">
        <v>195</v>
      </c>
    </row>
    <row r="19" spans="2:5" ht="74.25" customHeight="1" x14ac:dyDescent="0.35">
      <c r="B19" s="160" t="s">
        <v>174</v>
      </c>
      <c r="C19" s="161" t="s">
        <v>175</v>
      </c>
      <c r="D19" s="162" t="s">
        <v>186</v>
      </c>
      <c r="E19" s="163" t="s">
        <v>196</v>
      </c>
    </row>
    <row r="20" spans="2:5" ht="17" x14ac:dyDescent="0.35">
      <c r="D20" s="168"/>
    </row>
    <row r="21" spans="2:5" ht="17" x14ac:dyDescent="0.35">
      <c r="D21" s="168"/>
    </row>
    <row r="22" spans="2:5" ht="17" x14ac:dyDescent="0.35">
      <c r="D22" s="168"/>
    </row>
    <row r="23" spans="2:5" ht="17" x14ac:dyDescent="0.35">
      <c r="D23" s="168"/>
    </row>
    <row r="24" spans="2:5" ht="17" x14ac:dyDescent="0.35">
      <c r="D24" s="168"/>
    </row>
    <row r="25" spans="2:5" ht="17" x14ac:dyDescent="0.35">
      <c r="D25" s="168"/>
    </row>
    <row r="26" spans="2:5" ht="17" x14ac:dyDescent="0.35">
      <c r="D26" s="168"/>
    </row>
    <row r="27" spans="2:5" ht="17" x14ac:dyDescent="0.35">
      <c r="D27" s="168"/>
    </row>
    <row r="28" spans="2:5" ht="17" x14ac:dyDescent="0.35">
      <c r="D28" s="168"/>
    </row>
    <row r="29" spans="2:5" ht="17" x14ac:dyDescent="0.4">
      <c r="D29" s="169"/>
    </row>
  </sheetData>
  <sortState xmlns:xlrd2="http://schemas.microsoft.com/office/spreadsheetml/2017/richdata2" ref="B5:E19">
    <sortCondition ref="B5:B19"/>
  </sortState>
  <pageMargins left="0.7" right="0.7" top="0.75" bottom="0.75" header="0.3" footer="0.3"/>
  <pageSetup orientation="portrait" r:id="rId1"/>
  <headerFooter>
    <oddFooter>&amp;C&amp;1#&amp;"Calibri"&amp;11&amp;Kffa500CONFIDENTIAL▮▮مقيّد</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5"/>
  <sheetViews>
    <sheetView showGridLines="0" zoomScale="80" zoomScaleNormal="80" workbookViewId="0">
      <selection activeCell="B3" sqref="B3:E3"/>
    </sheetView>
  </sheetViews>
  <sheetFormatPr defaultColWidth="8.81640625" defaultRowHeight="14.5" x14ac:dyDescent="0.35"/>
  <cols>
    <col min="2" max="2" width="22.453125" bestFit="1" customWidth="1"/>
    <col min="3" max="3" width="55.1796875" bestFit="1" customWidth="1"/>
    <col min="4" max="4" width="52.453125" customWidth="1"/>
    <col min="5" max="5" width="22.453125" bestFit="1" customWidth="1"/>
  </cols>
  <sheetData>
    <row r="1" spans="1:5" x14ac:dyDescent="0.35">
      <c r="A1" s="9"/>
    </row>
    <row r="2" spans="1:5" x14ac:dyDescent="0.35">
      <c r="A2" s="9"/>
    </row>
    <row r="3" spans="1:5" ht="27" customHeight="1" x14ac:dyDescent="0.35">
      <c r="B3" s="112" t="s">
        <v>19</v>
      </c>
      <c r="C3" s="113"/>
      <c r="D3" s="114"/>
      <c r="E3" s="115" t="s">
        <v>197</v>
      </c>
    </row>
    <row r="4" spans="1:5" ht="18" customHeight="1" x14ac:dyDescent="0.35">
      <c r="B4" s="300"/>
      <c r="C4" s="300"/>
    </row>
    <row r="5" spans="1:5" ht="20.25" customHeight="1" x14ac:dyDescent="0.35">
      <c r="B5" s="116" t="s">
        <v>200</v>
      </c>
      <c r="C5" s="117" t="s">
        <v>208</v>
      </c>
      <c r="D5" s="117" t="s">
        <v>198</v>
      </c>
      <c r="E5" s="118" t="s">
        <v>212</v>
      </c>
    </row>
    <row r="6" spans="1:5" ht="20.25" customHeight="1" x14ac:dyDescent="0.35">
      <c r="B6" s="116" t="s">
        <v>203</v>
      </c>
      <c r="C6" s="117" t="s">
        <v>443</v>
      </c>
      <c r="D6" s="117" t="s">
        <v>442</v>
      </c>
      <c r="E6" s="118" t="s">
        <v>213</v>
      </c>
    </row>
    <row r="7" spans="1:5" ht="20.25" customHeight="1" x14ac:dyDescent="0.35">
      <c r="B7" s="116" t="s">
        <v>204</v>
      </c>
      <c r="C7" s="119" t="s">
        <v>209</v>
      </c>
      <c r="D7" s="119" t="s">
        <v>199</v>
      </c>
      <c r="E7" s="118" t="s">
        <v>214</v>
      </c>
    </row>
    <row r="8" spans="1:5" ht="20.25" customHeight="1" x14ac:dyDescent="0.35">
      <c r="B8" s="116" t="s">
        <v>207</v>
      </c>
      <c r="C8" s="117" t="s">
        <v>210</v>
      </c>
      <c r="D8" s="117" t="s">
        <v>201</v>
      </c>
      <c r="E8" s="118" t="s">
        <v>215</v>
      </c>
    </row>
    <row r="9" spans="1:5" ht="20.25" customHeight="1" x14ac:dyDescent="0.35">
      <c r="B9" s="116" t="s">
        <v>205</v>
      </c>
      <c r="C9" s="119" t="s">
        <v>211</v>
      </c>
      <c r="D9" s="119" t="s">
        <v>202</v>
      </c>
      <c r="E9" s="118" t="s">
        <v>216</v>
      </c>
    </row>
    <row r="10" spans="1:5" ht="29" x14ac:dyDescent="0.35">
      <c r="B10" s="116" t="s">
        <v>218</v>
      </c>
      <c r="C10" s="119" t="s">
        <v>221</v>
      </c>
      <c r="D10" s="119" t="s">
        <v>220</v>
      </c>
      <c r="E10" s="118" t="s">
        <v>219</v>
      </c>
    </row>
    <row r="11" spans="1:5" ht="29" x14ac:dyDescent="0.35">
      <c r="B11" s="116" t="s">
        <v>206</v>
      </c>
      <c r="C11" s="119" t="s">
        <v>451</v>
      </c>
      <c r="D11" s="119" t="s">
        <v>450</v>
      </c>
      <c r="E11" s="118" t="s">
        <v>217</v>
      </c>
    </row>
    <row r="12" spans="1:5" ht="15.5" x14ac:dyDescent="0.35">
      <c r="B12" s="120" t="s">
        <v>482</v>
      </c>
      <c r="C12" s="119" t="s">
        <v>480</v>
      </c>
      <c r="D12" s="119" t="s">
        <v>480</v>
      </c>
      <c r="E12" s="121" t="s">
        <v>481</v>
      </c>
    </row>
    <row r="13" spans="1:5" ht="29" x14ac:dyDescent="0.35">
      <c r="B13" s="301" t="s">
        <v>447</v>
      </c>
      <c r="C13" s="119" t="s">
        <v>455</v>
      </c>
      <c r="D13" s="119" t="s">
        <v>456</v>
      </c>
      <c r="E13" s="304" t="s">
        <v>446</v>
      </c>
    </row>
    <row r="14" spans="1:5" ht="43.5" x14ac:dyDescent="0.35">
      <c r="B14" s="302"/>
      <c r="C14" s="119" t="s">
        <v>452</v>
      </c>
      <c r="D14" s="119" t="s">
        <v>478</v>
      </c>
      <c r="E14" s="305"/>
    </row>
    <row r="15" spans="1:5" ht="43.5" x14ac:dyDescent="0.35">
      <c r="B15" s="303"/>
      <c r="C15" s="119" t="s">
        <v>453</v>
      </c>
      <c r="D15" s="119" t="s">
        <v>454</v>
      </c>
      <c r="E15" s="306"/>
    </row>
  </sheetData>
  <mergeCells count="3">
    <mergeCell ref="B4:C4"/>
    <mergeCell ref="B13:B15"/>
    <mergeCell ref="E13:E15"/>
  </mergeCells>
  <phoneticPr fontId="1" type="noConversion"/>
  <pageMargins left="0.7" right="0.7" top="0.75" bottom="0.75" header="0.3" footer="0.3"/>
  <pageSetup orientation="portrait" r:id="rId1"/>
  <headerFooter>
    <oddFooter>&amp;C&amp;1#&amp;"Calibri"&amp;11&amp;Kffa500CONFIDENTIAL▮▮مقيّد</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95AD5-A8B5-421E-8FAB-5B8A5F8FA3C4}">
  <dimension ref="B2:E190"/>
  <sheetViews>
    <sheetView showGridLines="0" workbookViewId="0">
      <selection activeCell="H14" sqref="H14"/>
    </sheetView>
  </sheetViews>
  <sheetFormatPr defaultRowHeight="14.5" x14ac:dyDescent="0.35"/>
  <cols>
    <col min="2" max="5" width="20.90625" customWidth="1"/>
  </cols>
  <sheetData>
    <row r="2" spans="2:5" ht="15.5" x14ac:dyDescent="0.35">
      <c r="B2" s="112"/>
      <c r="C2" s="113"/>
      <c r="D2" s="114"/>
      <c r="E2" s="115"/>
    </row>
    <row r="4" spans="2:5" x14ac:dyDescent="0.35">
      <c r="B4" s="228" t="s">
        <v>529</v>
      </c>
      <c r="C4" s="228" t="s">
        <v>531</v>
      </c>
      <c r="D4" s="228" t="s">
        <v>530</v>
      </c>
      <c r="E4" s="228" t="s">
        <v>532</v>
      </c>
    </row>
    <row r="5" spans="2:5" x14ac:dyDescent="0.35">
      <c r="B5" s="59" t="s">
        <v>533</v>
      </c>
      <c r="C5" s="59" t="s">
        <v>599</v>
      </c>
      <c r="D5" s="4" t="s">
        <v>600</v>
      </c>
      <c r="E5" s="59" t="s">
        <v>534</v>
      </c>
    </row>
    <row r="6" spans="2:5" x14ac:dyDescent="0.35">
      <c r="B6" s="59" t="s">
        <v>533</v>
      </c>
      <c r="C6" s="59" t="s">
        <v>605</v>
      </c>
      <c r="D6" s="4" t="s">
        <v>606</v>
      </c>
      <c r="E6" s="59" t="s">
        <v>534</v>
      </c>
    </row>
    <row r="7" spans="2:5" x14ac:dyDescent="0.35">
      <c r="B7" s="59" t="s">
        <v>533</v>
      </c>
      <c r="C7" s="59" t="s">
        <v>627</v>
      </c>
      <c r="D7" s="4" t="s">
        <v>628</v>
      </c>
      <c r="E7" s="59" t="s">
        <v>534</v>
      </c>
    </row>
    <row r="8" spans="2:5" x14ac:dyDescent="0.35">
      <c r="B8" s="59" t="s">
        <v>533</v>
      </c>
      <c r="C8" s="59" t="s">
        <v>633</v>
      </c>
      <c r="D8" s="4" t="s">
        <v>634</v>
      </c>
      <c r="E8" s="59" t="s">
        <v>534</v>
      </c>
    </row>
    <row r="9" spans="2:5" x14ac:dyDescent="0.35">
      <c r="B9" s="59" t="s">
        <v>533</v>
      </c>
      <c r="C9" s="59" t="s">
        <v>535</v>
      </c>
      <c r="D9" s="4" t="s">
        <v>536</v>
      </c>
      <c r="E9" s="59" t="s">
        <v>534</v>
      </c>
    </row>
    <row r="10" spans="2:5" x14ac:dyDescent="0.35">
      <c r="B10" s="59" t="s">
        <v>533</v>
      </c>
      <c r="C10" s="59" t="s">
        <v>641</v>
      </c>
      <c r="D10" s="4" t="s">
        <v>642</v>
      </c>
      <c r="E10" s="59" t="s">
        <v>534</v>
      </c>
    </row>
    <row r="11" spans="2:5" x14ac:dyDescent="0.35">
      <c r="B11" s="59" t="s">
        <v>533</v>
      </c>
      <c r="C11" s="59" t="s">
        <v>645</v>
      </c>
      <c r="D11" s="4" t="s">
        <v>646</v>
      </c>
      <c r="E11" s="59" t="s">
        <v>534</v>
      </c>
    </row>
    <row r="12" spans="2:5" x14ac:dyDescent="0.35">
      <c r="B12" s="59" t="s">
        <v>533</v>
      </c>
      <c r="C12" s="59" t="s">
        <v>647</v>
      </c>
      <c r="D12" s="4" t="s">
        <v>648</v>
      </c>
      <c r="E12" s="59" t="s">
        <v>534</v>
      </c>
    </row>
    <row r="13" spans="2:5" x14ac:dyDescent="0.35">
      <c r="B13" s="59" t="s">
        <v>533</v>
      </c>
      <c r="C13" s="59" t="s">
        <v>649</v>
      </c>
      <c r="D13" s="4" t="s">
        <v>650</v>
      </c>
      <c r="E13" s="59" t="s">
        <v>534</v>
      </c>
    </row>
    <row r="14" spans="2:5" x14ac:dyDescent="0.35">
      <c r="B14" s="59" t="s">
        <v>533</v>
      </c>
      <c r="C14" s="59" t="s">
        <v>657</v>
      </c>
      <c r="D14" s="4" t="s">
        <v>658</v>
      </c>
      <c r="E14" s="59" t="s">
        <v>534</v>
      </c>
    </row>
    <row r="15" spans="2:5" x14ac:dyDescent="0.35">
      <c r="B15" s="59" t="s">
        <v>533</v>
      </c>
      <c r="C15" s="59" t="s">
        <v>661</v>
      </c>
      <c r="D15" s="4" t="s">
        <v>662</v>
      </c>
      <c r="E15" s="59" t="s">
        <v>534</v>
      </c>
    </row>
    <row r="16" spans="2:5" x14ac:dyDescent="0.35">
      <c r="B16" s="59" t="s">
        <v>533</v>
      </c>
      <c r="C16" s="59" t="s">
        <v>659</v>
      </c>
      <c r="D16" s="4" t="s">
        <v>660</v>
      </c>
      <c r="E16" s="59" t="s">
        <v>534</v>
      </c>
    </row>
    <row r="17" spans="2:5" x14ac:dyDescent="0.35">
      <c r="B17" s="59" t="s">
        <v>533</v>
      </c>
      <c r="C17" s="59" t="s">
        <v>665</v>
      </c>
      <c r="D17" s="4" t="s">
        <v>666</v>
      </c>
      <c r="E17" s="59" t="s">
        <v>534</v>
      </c>
    </row>
    <row r="18" spans="2:5" x14ac:dyDescent="0.35">
      <c r="B18" s="59" t="s">
        <v>533</v>
      </c>
      <c r="C18" s="59" t="s">
        <v>677</v>
      </c>
      <c r="D18" s="4" t="s">
        <v>678</v>
      </c>
      <c r="E18" s="59" t="s">
        <v>534</v>
      </c>
    </row>
    <row r="19" spans="2:5" x14ac:dyDescent="0.35">
      <c r="B19" s="59" t="s">
        <v>533</v>
      </c>
      <c r="C19" s="59" t="s">
        <v>687</v>
      </c>
      <c r="D19" s="4" t="s">
        <v>688</v>
      </c>
      <c r="E19" s="59" t="s">
        <v>534</v>
      </c>
    </row>
    <row r="20" spans="2:5" x14ac:dyDescent="0.35">
      <c r="B20" s="59" t="s">
        <v>533</v>
      </c>
      <c r="C20" s="59" t="s">
        <v>689</v>
      </c>
      <c r="D20" s="4" t="s">
        <v>690</v>
      </c>
      <c r="E20" s="59" t="s">
        <v>534</v>
      </c>
    </row>
    <row r="21" spans="2:5" x14ac:dyDescent="0.35">
      <c r="B21" s="59" t="s">
        <v>533</v>
      </c>
      <c r="C21" s="59" t="s">
        <v>693</v>
      </c>
      <c r="D21" s="4" t="s">
        <v>694</v>
      </c>
      <c r="E21" s="59" t="s">
        <v>534</v>
      </c>
    </row>
    <row r="22" spans="2:5" x14ac:dyDescent="0.35">
      <c r="B22" s="59" t="s">
        <v>533</v>
      </c>
      <c r="C22" s="59" t="s">
        <v>695</v>
      </c>
      <c r="D22" s="4" t="s">
        <v>696</v>
      </c>
      <c r="E22" s="59" t="s">
        <v>534</v>
      </c>
    </row>
    <row r="23" spans="2:5" x14ac:dyDescent="0.35">
      <c r="B23" s="59" t="s">
        <v>533</v>
      </c>
      <c r="C23" s="59" t="s">
        <v>703</v>
      </c>
      <c r="D23" s="4" t="s">
        <v>704</v>
      </c>
      <c r="E23" s="59" t="s">
        <v>534</v>
      </c>
    </row>
    <row r="24" spans="2:5" x14ac:dyDescent="0.35">
      <c r="B24" s="59" t="s">
        <v>533</v>
      </c>
      <c r="C24" s="59" t="s">
        <v>705</v>
      </c>
      <c r="D24" s="4" t="s">
        <v>706</v>
      </c>
      <c r="E24" s="59" t="s">
        <v>534</v>
      </c>
    </row>
    <row r="25" spans="2:5" x14ac:dyDescent="0.35">
      <c r="B25" s="59" t="s">
        <v>533</v>
      </c>
      <c r="C25" s="59" t="s">
        <v>709</v>
      </c>
      <c r="D25" s="4" t="s">
        <v>710</v>
      </c>
      <c r="E25" s="59" t="s">
        <v>534</v>
      </c>
    </row>
    <row r="26" spans="2:5" x14ac:dyDescent="0.35">
      <c r="B26" s="59" t="s">
        <v>533</v>
      </c>
      <c r="C26" s="59" t="s">
        <v>713</v>
      </c>
      <c r="D26" s="4" t="s">
        <v>714</v>
      </c>
      <c r="E26" s="59" t="s">
        <v>534</v>
      </c>
    </row>
    <row r="27" spans="2:5" x14ac:dyDescent="0.35">
      <c r="B27" s="59" t="s">
        <v>533</v>
      </c>
      <c r="C27" s="59" t="s">
        <v>715</v>
      </c>
      <c r="D27" s="4" t="s">
        <v>716</v>
      </c>
      <c r="E27" s="59" t="s">
        <v>534</v>
      </c>
    </row>
    <row r="28" spans="2:5" x14ac:dyDescent="0.35">
      <c r="B28" s="59" t="s">
        <v>533</v>
      </c>
      <c r="C28" s="59" t="s">
        <v>737</v>
      </c>
      <c r="D28" s="4" t="s">
        <v>738</v>
      </c>
      <c r="E28" s="59" t="s">
        <v>534</v>
      </c>
    </row>
    <row r="29" spans="2:5" x14ac:dyDescent="0.35">
      <c r="B29" s="59" t="s">
        <v>533</v>
      </c>
      <c r="C29" s="59" t="s">
        <v>749</v>
      </c>
      <c r="D29" s="4" t="s">
        <v>750</v>
      </c>
      <c r="E29" s="59" t="s">
        <v>534</v>
      </c>
    </row>
    <row r="30" spans="2:5" x14ac:dyDescent="0.35">
      <c r="B30" s="59" t="s">
        <v>533</v>
      </c>
      <c r="C30" s="59" t="s">
        <v>751</v>
      </c>
      <c r="D30" s="4" t="s">
        <v>752</v>
      </c>
      <c r="E30" s="59" t="s">
        <v>534</v>
      </c>
    </row>
    <row r="31" spans="2:5" x14ac:dyDescent="0.35">
      <c r="B31" s="59" t="s">
        <v>533</v>
      </c>
      <c r="C31" s="59" t="s">
        <v>763</v>
      </c>
      <c r="D31" s="4" t="s">
        <v>764</v>
      </c>
      <c r="E31" s="59" t="s">
        <v>534</v>
      </c>
    </row>
    <row r="32" spans="2:5" x14ac:dyDescent="0.35">
      <c r="B32" s="59" t="s">
        <v>533</v>
      </c>
      <c r="C32" s="59" t="s">
        <v>765</v>
      </c>
      <c r="D32" s="4" t="s">
        <v>766</v>
      </c>
      <c r="E32" s="59" t="s">
        <v>534</v>
      </c>
    </row>
    <row r="33" spans="2:5" x14ac:dyDescent="0.35">
      <c r="B33" s="59" t="s">
        <v>533</v>
      </c>
      <c r="C33" s="59" t="s">
        <v>769</v>
      </c>
      <c r="D33" s="4" t="s">
        <v>770</v>
      </c>
      <c r="E33" s="59" t="s">
        <v>534</v>
      </c>
    </row>
    <row r="34" spans="2:5" x14ac:dyDescent="0.35">
      <c r="B34" s="59" t="s">
        <v>533</v>
      </c>
      <c r="C34" s="59" t="s">
        <v>775</v>
      </c>
      <c r="D34" s="4" t="s">
        <v>776</v>
      </c>
      <c r="E34" s="59" t="s">
        <v>534</v>
      </c>
    </row>
    <row r="35" spans="2:5" x14ac:dyDescent="0.35">
      <c r="B35" s="59" t="s">
        <v>533</v>
      </c>
      <c r="C35" s="59" t="s">
        <v>777</v>
      </c>
      <c r="D35" s="4" t="s">
        <v>778</v>
      </c>
      <c r="E35" s="59" t="s">
        <v>534</v>
      </c>
    </row>
    <row r="36" spans="2:5" x14ac:dyDescent="0.35">
      <c r="B36" s="59" t="s">
        <v>533</v>
      </c>
      <c r="C36" s="59" t="s">
        <v>787</v>
      </c>
      <c r="D36" s="4" t="s">
        <v>788</v>
      </c>
      <c r="E36" s="59" t="s">
        <v>534</v>
      </c>
    </row>
    <row r="37" spans="2:5" x14ac:dyDescent="0.35">
      <c r="B37" s="59" t="s">
        <v>533</v>
      </c>
      <c r="C37" s="59" t="s">
        <v>789</v>
      </c>
      <c r="D37" s="4" t="s">
        <v>790</v>
      </c>
      <c r="E37" s="59" t="s">
        <v>534</v>
      </c>
    </row>
    <row r="38" spans="2:5" x14ac:dyDescent="0.35">
      <c r="B38" s="59" t="s">
        <v>533</v>
      </c>
      <c r="C38" s="59" t="s">
        <v>793</v>
      </c>
      <c r="D38" s="4" t="s">
        <v>794</v>
      </c>
      <c r="E38" s="59" t="s">
        <v>534</v>
      </c>
    </row>
    <row r="39" spans="2:5" x14ac:dyDescent="0.35">
      <c r="B39" s="59" t="s">
        <v>533</v>
      </c>
      <c r="C39" s="59" t="s">
        <v>799</v>
      </c>
      <c r="D39" s="4" t="s">
        <v>800</v>
      </c>
      <c r="E39" s="59" t="s">
        <v>534</v>
      </c>
    </row>
    <row r="40" spans="2:5" x14ac:dyDescent="0.35">
      <c r="B40" s="59" t="s">
        <v>533</v>
      </c>
      <c r="C40" s="59" t="s">
        <v>801</v>
      </c>
      <c r="D40" s="4" t="s">
        <v>802</v>
      </c>
      <c r="E40" s="59" t="s">
        <v>534</v>
      </c>
    </row>
    <row r="41" spans="2:5" x14ac:dyDescent="0.35">
      <c r="B41" s="59" t="s">
        <v>533</v>
      </c>
      <c r="C41" s="59" t="s">
        <v>537</v>
      </c>
      <c r="D41" s="4" t="s">
        <v>831</v>
      </c>
      <c r="E41" s="59" t="s">
        <v>534</v>
      </c>
    </row>
    <row r="42" spans="2:5" x14ac:dyDescent="0.35">
      <c r="B42" s="59" t="s">
        <v>533</v>
      </c>
      <c r="C42" s="59" t="s">
        <v>834</v>
      </c>
      <c r="D42" s="4" t="s">
        <v>835</v>
      </c>
      <c r="E42" s="59" t="s">
        <v>534</v>
      </c>
    </row>
    <row r="43" spans="2:5" x14ac:dyDescent="0.35">
      <c r="B43" s="59" t="s">
        <v>533</v>
      </c>
      <c r="C43" s="59" t="s">
        <v>838</v>
      </c>
      <c r="D43" s="4" t="s">
        <v>839</v>
      </c>
      <c r="E43" s="59" t="s">
        <v>534</v>
      </c>
    </row>
    <row r="44" spans="2:5" x14ac:dyDescent="0.35">
      <c r="B44" s="59" t="s">
        <v>533</v>
      </c>
      <c r="C44" s="59" t="s">
        <v>842</v>
      </c>
      <c r="D44" s="4" t="s">
        <v>843</v>
      </c>
      <c r="E44" s="59" t="s">
        <v>534</v>
      </c>
    </row>
    <row r="45" spans="2:5" x14ac:dyDescent="0.35">
      <c r="B45" s="59" t="s">
        <v>533</v>
      </c>
      <c r="C45" s="59" t="s">
        <v>844</v>
      </c>
      <c r="D45" s="4" t="s">
        <v>845</v>
      </c>
      <c r="E45" s="59" t="s">
        <v>534</v>
      </c>
    </row>
    <row r="46" spans="2:5" x14ac:dyDescent="0.35">
      <c r="B46" s="59" t="s">
        <v>533</v>
      </c>
      <c r="C46" s="59" t="s">
        <v>852</v>
      </c>
      <c r="D46" s="4" t="s">
        <v>853</v>
      </c>
      <c r="E46" s="59" t="s">
        <v>534</v>
      </c>
    </row>
    <row r="47" spans="2:5" x14ac:dyDescent="0.35">
      <c r="B47" s="59" t="s">
        <v>533</v>
      </c>
      <c r="C47" s="59" t="s">
        <v>854</v>
      </c>
      <c r="D47" s="4" t="s">
        <v>855</v>
      </c>
      <c r="E47" s="59" t="s">
        <v>534</v>
      </c>
    </row>
    <row r="48" spans="2:5" x14ac:dyDescent="0.35">
      <c r="B48" s="59" t="s">
        <v>533</v>
      </c>
      <c r="C48" s="59" t="s">
        <v>866</v>
      </c>
      <c r="D48" s="4" t="s">
        <v>867</v>
      </c>
      <c r="E48" s="59" t="s">
        <v>534</v>
      </c>
    </row>
    <row r="49" spans="2:5" x14ac:dyDescent="0.35">
      <c r="B49" s="59" t="s">
        <v>533</v>
      </c>
      <c r="C49" s="59" t="s">
        <v>878</v>
      </c>
      <c r="D49" s="4" t="s">
        <v>879</v>
      </c>
      <c r="E49" s="59" t="s">
        <v>534</v>
      </c>
    </row>
    <row r="50" spans="2:5" x14ac:dyDescent="0.35">
      <c r="B50" s="59" t="s">
        <v>533</v>
      </c>
      <c r="C50" s="59" t="s">
        <v>882</v>
      </c>
      <c r="D50" s="4" t="s">
        <v>883</v>
      </c>
      <c r="E50" s="59" t="s">
        <v>534</v>
      </c>
    </row>
    <row r="51" spans="2:5" x14ac:dyDescent="0.35">
      <c r="B51" s="59" t="s">
        <v>533</v>
      </c>
      <c r="C51" s="59" t="s">
        <v>888</v>
      </c>
      <c r="D51" s="4" t="s">
        <v>889</v>
      </c>
      <c r="E51" s="59" t="s">
        <v>534</v>
      </c>
    </row>
    <row r="52" spans="2:5" x14ac:dyDescent="0.35">
      <c r="B52" s="59" t="s">
        <v>533</v>
      </c>
      <c r="C52" s="59" t="s">
        <v>894</v>
      </c>
      <c r="D52" s="4" t="s">
        <v>895</v>
      </c>
      <c r="E52" s="59" t="s">
        <v>534</v>
      </c>
    </row>
    <row r="53" spans="2:5" x14ac:dyDescent="0.35">
      <c r="B53" s="59" t="s">
        <v>533</v>
      </c>
      <c r="C53" s="59" t="s">
        <v>912</v>
      </c>
      <c r="D53" s="4" t="s">
        <v>913</v>
      </c>
      <c r="E53" s="59" t="s">
        <v>534</v>
      </c>
    </row>
    <row r="54" spans="2:5" x14ac:dyDescent="0.35">
      <c r="B54" s="59" t="s">
        <v>533</v>
      </c>
      <c r="C54" s="59" t="s">
        <v>914</v>
      </c>
      <c r="D54" s="4" t="s">
        <v>915</v>
      </c>
      <c r="E54" s="59" t="s">
        <v>534</v>
      </c>
    </row>
    <row r="55" spans="2:5" x14ac:dyDescent="0.35">
      <c r="B55" s="59" t="s">
        <v>538</v>
      </c>
      <c r="C55" s="59" t="s">
        <v>607</v>
      </c>
      <c r="D55" s="4" t="s">
        <v>608</v>
      </c>
      <c r="E55" s="59" t="s">
        <v>539</v>
      </c>
    </row>
    <row r="56" spans="2:5" x14ac:dyDescent="0.35">
      <c r="B56" s="59" t="s">
        <v>538</v>
      </c>
      <c r="C56" s="59" t="s">
        <v>540</v>
      </c>
      <c r="D56" s="4" t="s">
        <v>541</v>
      </c>
      <c r="E56" s="59" t="s">
        <v>539</v>
      </c>
    </row>
    <row r="57" spans="2:5" x14ac:dyDescent="0.35">
      <c r="B57" s="59" t="s">
        <v>538</v>
      </c>
      <c r="C57" s="59" t="s">
        <v>617</v>
      </c>
      <c r="D57" s="4" t="s">
        <v>618</v>
      </c>
      <c r="E57" s="59" t="s">
        <v>539</v>
      </c>
    </row>
    <row r="58" spans="2:5" x14ac:dyDescent="0.35">
      <c r="B58" s="59" t="s">
        <v>538</v>
      </c>
      <c r="C58" s="59" t="s">
        <v>542</v>
      </c>
      <c r="D58" s="4" t="s">
        <v>543</v>
      </c>
      <c r="E58" s="59" t="s">
        <v>539</v>
      </c>
    </row>
    <row r="59" spans="2:5" x14ac:dyDescent="0.35">
      <c r="B59" s="59" t="s">
        <v>538</v>
      </c>
      <c r="C59" s="59" t="s">
        <v>544</v>
      </c>
      <c r="D59" s="4" t="s">
        <v>545</v>
      </c>
      <c r="E59" s="59" t="s">
        <v>539</v>
      </c>
    </row>
    <row r="60" spans="2:5" x14ac:dyDescent="0.35">
      <c r="B60" s="59" t="s">
        <v>538</v>
      </c>
      <c r="C60" s="59" t="s">
        <v>631</v>
      </c>
      <c r="D60" s="4" t="s">
        <v>632</v>
      </c>
      <c r="E60" s="59" t="s">
        <v>539</v>
      </c>
    </row>
    <row r="61" spans="2:5" x14ac:dyDescent="0.35">
      <c r="B61" s="59" t="s">
        <v>538</v>
      </c>
      <c r="C61" s="59" t="s">
        <v>635</v>
      </c>
      <c r="D61" s="4" t="s">
        <v>636</v>
      </c>
      <c r="E61" s="59" t="s">
        <v>539</v>
      </c>
    </row>
    <row r="62" spans="2:5" x14ac:dyDescent="0.35">
      <c r="B62" s="59" t="s">
        <v>538</v>
      </c>
      <c r="C62" s="59" t="s">
        <v>546</v>
      </c>
      <c r="D62" s="4" t="s">
        <v>547</v>
      </c>
      <c r="E62" s="59" t="s">
        <v>539</v>
      </c>
    </row>
    <row r="63" spans="2:5" x14ac:dyDescent="0.35">
      <c r="B63" s="59" t="s">
        <v>538</v>
      </c>
      <c r="C63" s="59" t="s">
        <v>651</v>
      </c>
      <c r="D63" s="4" t="s">
        <v>652</v>
      </c>
      <c r="E63" s="59" t="s">
        <v>539</v>
      </c>
    </row>
    <row r="64" spans="2:5" x14ac:dyDescent="0.35">
      <c r="B64" s="59" t="s">
        <v>538</v>
      </c>
      <c r="C64" s="59" t="s">
        <v>655</v>
      </c>
      <c r="D64" s="4" t="s">
        <v>656</v>
      </c>
      <c r="E64" s="59" t="s">
        <v>539</v>
      </c>
    </row>
    <row r="65" spans="2:5" x14ac:dyDescent="0.35">
      <c r="B65" s="59" t="s">
        <v>538</v>
      </c>
      <c r="C65" s="59" t="s">
        <v>663</v>
      </c>
      <c r="D65" s="4" t="s">
        <v>664</v>
      </c>
      <c r="E65" s="59" t="s">
        <v>539</v>
      </c>
    </row>
    <row r="66" spans="2:5" x14ac:dyDescent="0.35">
      <c r="B66" s="59" t="s">
        <v>538</v>
      </c>
      <c r="C66" s="59" t="s">
        <v>669</v>
      </c>
      <c r="D66" s="4" t="s">
        <v>670</v>
      </c>
      <c r="E66" s="59" t="s">
        <v>539</v>
      </c>
    </row>
    <row r="67" spans="2:5" x14ac:dyDescent="0.35">
      <c r="B67" s="59" t="s">
        <v>538</v>
      </c>
      <c r="C67" s="59" t="s">
        <v>679</v>
      </c>
      <c r="D67" s="4" t="s">
        <v>680</v>
      </c>
      <c r="E67" s="59" t="s">
        <v>539</v>
      </c>
    </row>
    <row r="68" spans="2:5" x14ac:dyDescent="0.35">
      <c r="B68" s="59" t="s">
        <v>538</v>
      </c>
      <c r="C68" s="59" t="s">
        <v>681</v>
      </c>
      <c r="D68" s="4" t="s">
        <v>682</v>
      </c>
      <c r="E68" s="59" t="s">
        <v>539</v>
      </c>
    </row>
    <row r="69" spans="2:5" x14ac:dyDescent="0.35">
      <c r="B69" s="59" t="s">
        <v>538</v>
      </c>
      <c r="C69" s="59" t="s">
        <v>685</v>
      </c>
      <c r="D69" s="4" t="s">
        <v>686</v>
      </c>
      <c r="E69" s="59" t="s">
        <v>539</v>
      </c>
    </row>
    <row r="70" spans="2:5" x14ac:dyDescent="0.35">
      <c r="B70" s="59" t="s">
        <v>538</v>
      </c>
      <c r="C70" s="59" t="s">
        <v>548</v>
      </c>
      <c r="D70" s="4" t="s">
        <v>549</v>
      </c>
      <c r="E70" s="59" t="s">
        <v>539</v>
      </c>
    </row>
    <row r="71" spans="2:5" x14ac:dyDescent="0.35">
      <c r="B71" s="59" t="s">
        <v>538</v>
      </c>
      <c r="C71" s="59" t="s">
        <v>711</v>
      </c>
      <c r="D71" s="4" t="s">
        <v>712</v>
      </c>
      <c r="E71" s="59" t="s">
        <v>539</v>
      </c>
    </row>
    <row r="72" spans="2:5" x14ac:dyDescent="0.35">
      <c r="B72" s="59" t="s">
        <v>538</v>
      </c>
      <c r="C72" s="59" t="s">
        <v>717</v>
      </c>
      <c r="D72" s="4" t="s">
        <v>718</v>
      </c>
      <c r="E72" s="59" t="s">
        <v>539</v>
      </c>
    </row>
    <row r="73" spans="2:5" x14ac:dyDescent="0.35">
      <c r="B73" s="59" t="s">
        <v>538</v>
      </c>
      <c r="C73" s="59" t="s">
        <v>719</v>
      </c>
      <c r="D73" s="4" t="s">
        <v>720</v>
      </c>
      <c r="E73" s="59" t="s">
        <v>539</v>
      </c>
    </row>
    <row r="74" spans="2:5" x14ac:dyDescent="0.35">
      <c r="B74" s="59" t="s">
        <v>538</v>
      </c>
      <c r="C74" s="59" t="s">
        <v>550</v>
      </c>
      <c r="D74" s="4" t="s">
        <v>551</v>
      </c>
      <c r="E74" s="59" t="s">
        <v>539</v>
      </c>
    </row>
    <row r="75" spans="2:5" x14ac:dyDescent="0.35">
      <c r="B75" s="59" t="s">
        <v>538</v>
      </c>
      <c r="C75" s="59" t="s">
        <v>552</v>
      </c>
      <c r="D75" s="4" t="s">
        <v>553</v>
      </c>
      <c r="E75" s="59" t="s">
        <v>539</v>
      </c>
    </row>
    <row r="76" spans="2:5" x14ac:dyDescent="0.35">
      <c r="B76" s="59" t="s">
        <v>538</v>
      </c>
      <c r="C76" s="59" t="s">
        <v>779</v>
      </c>
      <c r="D76" s="4" t="s">
        <v>780</v>
      </c>
      <c r="E76" s="59" t="s">
        <v>539</v>
      </c>
    </row>
    <row r="77" spans="2:5" x14ac:dyDescent="0.35">
      <c r="B77" s="59" t="s">
        <v>538</v>
      </c>
      <c r="C77" s="59" t="s">
        <v>554</v>
      </c>
      <c r="D77" s="4" t="s">
        <v>555</v>
      </c>
      <c r="E77" s="59" t="s">
        <v>539</v>
      </c>
    </row>
    <row r="78" spans="2:5" x14ac:dyDescent="0.35">
      <c r="B78" s="59" t="s">
        <v>538</v>
      </c>
      <c r="C78" s="59" t="s">
        <v>797</v>
      </c>
      <c r="D78" s="4" t="s">
        <v>798</v>
      </c>
      <c r="E78" s="59" t="s">
        <v>539</v>
      </c>
    </row>
    <row r="79" spans="2:5" x14ac:dyDescent="0.35">
      <c r="B79" s="59" t="s">
        <v>538</v>
      </c>
      <c r="C79" s="59" t="s">
        <v>813</v>
      </c>
      <c r="D79" s="4" t="s">
        <v>814</v>
      </c>
      <c r="E79" s="59" t="s">
        <v>539</v>
      </c>
    </row>
    <row r="80" spans="2:5" x14ac:dyDescent="0.35">
      <c r="B80" s="59" t="s">
        <v>538</v>
      </c>
      <c r="C80" s="59" t="s">
        <v>817</v>
      </c>
      <c r="D80" s="4" t="s">
        <v>818</v>
      </c>
      <c r="E80" s="59" t="s">
        <v>539</v>
      </c>
    </row>
    <row r="81" spans="2:5" x14ac:dyDescent="0.35">
      <c r="B81" s="59" t="s">
        <v>538</v>
      </c>
      <c r="C81" s="59" t="s">
        <v>819</v>
      </c>
      <c r="D81" s="4" t="s">
        <v>820</v>
      </c>
      <c r="E81" s="59" t="s">
        <v>539</v>
      </c>
    </row>
    <row r="82" spans="2:5" x14ac:dyDescent="0.35">
      <c r="B82" s="59" t="s">
        <v>538</v>
      </c>
      <c r="C82" s="59" t="s">
        <v>827</v>
      </c>
      <c r="D82" s="4" t="s">
        <v>828</v>
      </c>
      <c r="E82" s="59" t="s">
        <v>539</v>
      </c>
    </row>
    <row r="83" spans="2:5" x14ac:dyDescent="0.35">
      <c r="B83" s="59" t="s">
        <v>538</v>
      </c>
      <c r="C83" s="59" t="s">
        <v>556</v>
      </c>
      <c r="D83" s="4" t="s">
        <v>557</v>
      </c>
      <c r="E83" s="59" t="s">
        <v>539</v>
      </c>
    </row>
    <row r="84" spans="2:5" x14ac:dyDescent="0.35">
      <c r="B84" s="59" t="s">
        <v>538</v>
      </c>
      <c r="C84" s="59" t="s">
        <v>868</v>
      </c>
      <c r="D84" s="4" t="s">
        <v>869</v>
      </c>
      <c r="E84" s="59" t="s">
        <v>539</v>
      </c>
    </row>
    <row r="85" spans="2:5" x14ac:dyDescent="0.35">
      <c r="B85" s="59" t="s">
        <v>538</v>
      </c>
      <c r="C85" s="59" t="s">
        <v>886</v>
      </c>
      <c r="D85" s="4" t="s">
        <v>887</v>
      </c>
      <c r="E85" s="59" t="s">
        <v>539</v>
      </c>
    </row>
    <row r="86" spans="2:5" x14ac:dyDescent="0.35">
      <c r="B86" s="59" t="s">
        <v>538</v>
      </c>
      <c r="C86" s="59" t="s">
        <v>898</v>
      </c>
      <c r="D86" s="4" t="s">
        <v>899</v>
      </c>
      <c r="E86" s="59" t="s">
        <v>539</v>
      </c>
    </row>
    <row r="87" spans="2:5" x14ac:dyDescent="0.35">
      <c r="B87" s="59" t="s">
        <v>538</v>
      </c>
      <c r="C87" s="59" t="s">
        <v>900</v>
      </c>
      <c r="D87" s="4" t="s">
        <v>901</v>
      </c>
      <c r="E87" s="59" t="s">
        <v>539</v>
      </c>
    </row>
    <row r="88" spans="2:5" x14ac:dyDescent="0.35">
      <c r="B88" s="59" t="s">
        <v>538</v>
      </c>
      <c r="C88" s="59" t="s">
        <v>904</v>
      </c>
      <c r="D88" s="4" t="s">
        <v>905</v>
      </c>
      <c r="E88" s="59" t="s">
        <v>539</v>
      </c>
    </row>
    <row r="89" spans="2:5" x14ac:dyDescent="0.35">
      <c r="B89" s="59" t="s">
        <v>538</v>
      </c>
      <c r="C89" s="59" t="s">
        <v>908</v>
      </c>
      <c r="D89" s="4" t="s">
        <v>909</v>
      </c>
      <c r="E89" s="59" t="s">
        <v>539</v>
      </c>
    </row>
    <row r="90" spans="2:5" x14ac:dyDescent="0.35">
      <c r="B90" s="59" t="s">
        <v>558</v>
      </c>
      <c r="C90" s="59" t="s">
        <v>595</v>
      </c>
      <c r="D90" s="4" t="s">
        <v>596</v>
      </c>
      <c r="E90" s="59" t="s">
        <v>559</v>
      </c>
    </row>
    <row r="91" spans="2:5" x14ac:dyDescent="0.35">
      <c r="B91" s="59" t="s">
        <v>558</v>
      </c>
      <c r="C91" s="59" t="s">
        <v>601</v>
      </c>
      <c r="D91" s="4" t="s">
        <v>602</v>
      </c>
      <c r="E91" s="59" t="s">
        <v>559</v>
      </c>
    </row>
    <row r="92" spans="2:5" x14ac:dyDescent="0.35">
      <c r="B92" s="59" t="s">
        <v>558</v>
      </c>
      <c r="C92" s="59" t="s">
        <v>611</v>
      </c>
      <c r="D92" s="4" t="s">
        <v>612</v>
      </c>
      <c r="E92" s="59" t="s">
        <v>559</v>
      </c>
    </row>
    <row r="93" spans="2:5" x14ac:dyDescent="0.35">
      <c r="B93" s="59" t="s">
        <v>558</v>
      </c>
      <c r="C93" s="59" t="s">
        <v>621</v>
      </c>
      <c r="D93" s="4" t="s">
        <v>622</v>
      </c>
      <c r="E93" s="59" t="s">
        <v>559</v>
      </c>
    </row>
    <row r="94" spans="2:5" x14ac:dyDescent="0.35">
      <c r="B94" s="59" t="s">
        <v>558</v>
      </c>
      <c r="C94" s="59" t="s">
        <v>629</v>
      </c>
      <c r="D94" s="4" t="s">
        <v>630</v>
      </c>
      <c r="E94" s="59" t="s">
        <v>559</v>
      </c>
    </row>
    <row r="95" spans="2:5" x14ac:dyDescent="0.35">
      <c r="B95" s="59" t="s">
        <v>558</v>
      </c>
      <c r="C95" s="59" t="s">
        <v>637</v>
      </c>
      <c r="D95" s="4" t="s">
        <v>638</v>
      </c>
      <c r="E95" s="59" t="s">
        <v>559</v>
      </c>
    </row>
    <row r="96" spans="2:5" x14ac:dyDescent="0.35">
      <c r="B96" s="59" t="s">
        <v>558</v>
      </c>
      <c r="C96" s="59" t="s">
        <v>643</v>
      </c>
      <c r="D96" s="4" t="s">
        <v>644</v>
      </c>
      <c r="E96" s="59" t="s">
        <v>559</v>
      </c>
    </row>
    <row r="97" spans="2:5" x14ac:dyDescent="0.35">
      <c r="B97" s="59" t="s">
        <v>558</v>
      </c>
      <c r="C97" s="59" t="s">
        <v>653</v>
      </c>
      <c r="D97" s="4" t="s">
        <v>654</v>
      </c>
      <c r="E97" s="59" t="s">
        <v>559</v>
      </c>
    </row>
    <row r="98" spans="2:5" x14ac:dyDescent="0.35">
      <c r="B98" s="59" t="s">
        <v>558</v>
      </c>
      <c r="C98" s="59" t="s">
        <v>697</v>
      </c>
      <c r="D98" s="4" t="s">
        <v>698</v>
      </c>
      <c r="E98" s="59" t="s">
        <v>559</v>
      </c>
    </row>
    <row r="99" spans="2:5" x14ac:dyDescent="0.35">
      <c r="B99" s="59" t="s">
        <v>558</v>
      </c>
      <c r="C99" s="59" t="s">
        <v>560</v>
      </c>
      <c r="D99" s="4" t="s">
        <v>561</v>
      </c>
      <c r="E99" s="59" t="s">
        <v>559</v>
      </c>
    </row>
    <row r="100" spans="2:5" x14ac:dyDescent="0.35">
      <c r="B100" s="59" t="s">
        <v>558</v>
      </c>
      <c r="C100" s="59" t="s">
        <v>721</v>
      </c>
      <c r="D100" s="4" t="s">
        <v>722</v>
      </c>
      <c r="E100" s="59" t="s">
        <v>559</v>
      </c>
    </row>
    <row r="101" spans="2:5" x14ac:dyDescent="0.35">
      <c r="B101" s="59" t="s">
        <v>558</v>
      </c>
      <c r="C101" s="59" t="s">
        <v>723</v>
      </c>
      <c r="D101" s="4" t="s">
        <v>724</v>
      </c>
      <c r="E101" s="59" t="s">
        <v>559</v>
      </c>
    </row>
    <row r="102" spans="2:5" x14ac:dyDescent="0.35">
      <c r="B102" s="59" t="s">
        <v>558</v>
      </c>
      <c r="C102" s="59" t="s">
        <v>725</v>
      </c>
      <c r="D102" s="4" t="s">
        <v>726</v>
      </c>
      <c r="E102" s="59" t="s">
        <v>559</v>
      </c>
    </row>
    <row r="103" spans="2:5" x14ac:dyDescent="0.35">
      <c r="B103" s="59" t="s">
        <v>558</v>
      </c>
      <c r="C103" s="59" t="s">
        <v>727</v>
      </c>
      <c r="D103" s="4" t="s">
        <v>728</v>
      </c>
      <c r="E103" s="59" t="s">
        <v>559</v>
      </c>
    </row>
    <row r="104" spans="2:5" x14ac:dyDescent="0.35">
      <c r="B104" s="59" t="s">
        <v>558</v>
      </c>
      <c r="C104" s="59" t="s">
        <v>562</v>
      </c>
      <c r="D104" s="4" t="s">
        <v>563</v>
      </c>
      <c r="E104" s="59" t="s">
        <v>559</v>
      </c>
    </row>
    <row r="105" spans="2:5" x14ac:dyDescent="0.35">
      <c r="B105" s="59" t="s">
        <v>558</v>
      </c>
      <c r="C105" s="59" t="s">
        <v>739</v>
      </c>
      <c r="D105" s="4" t="s">
        <v>740</v>
      </c>
      <c r="E105" s="59" t="s">
        <v>559</v>
      </c>
    </row>
    <row r="106" spans="2:5" x14ac:dyDescent="0.35">
      <c r="B106" s="59" t="s">
        <v>558</v>
      </c>
      <c r="C106" s="59" t="s">
        <v>761</v>
      </c>
      <c r="D106" s="4" t="s">
        <v>762</v>
      </c>
      <c r="E106" s="59" t="s">
        <v>559</v>
      </c>
    </row>
    <row r="107" spans="2:5" x14ac:dyDescent="0.35">
      <c r="B107" s="59" t="s">
        <v>558</v>
      </c>
      <c r="C107" s="59" t="s">
        <v>564</v>
      </c>
      <c r="D107" s="4" t="s">
        <v>565</v>
      </c>
      <c r="E107" s="59" t="s">
        <v>559</v>
      </c>
    </row>
    <row r="108" spans="2:5" x14ac:dyDescent="0.35">
      <c r="B108" s="59" t="s">
        <v>558</v>
      </c>
      <c r="C108" s="59" t="s">
        <v>767</v>
      </c>
      <c r="D108" s="4" t="s">
        <v>768</v>
      </c>
      <c r="E108" s="59" t="s">
        <v>559</v>
      </c>
    </row>
    <row r="109" spans="2:5" x14ac:dyDescent="0.35">
      <c r="B109" s="59" t="s">
        <v>558</v>
      </c>
      <c r="C109" s="59" t="s">
        <v>773</v>
      </c>
      <c r="D109" s="4" t="s">
        <v>774</v>
      </c>
      <c r="E109" s="59" t="s">
        <v>559</v>
      </c>
    </row>
    <row r="110" spans="2:5" x14ac:dyDescent="0.35">
      <c r="B110" s="59" t="s">
        <v>558</v>
      </c>
      <c r="C110" s="59" t="s">
        <v>781</v>
      </c>
      <c r="D110" s="4" t="s">
        <v>782</v>
      </c>
      <c r="E110" s="59" t="s">
        <v>559</v>
      </c>
    </row>
    <row r="111" spans="2:5" x14ac:dyDescent="0.35">
      <c r="B111" s="59" t="s">
        <v>558</v>
      </c>
      <c r="C111" s="59" t="s">
        <v>785</v>
      </c>
      <c r="D111" s="4" t="s">
        <v>786</v>
      </c>
      <c r="E111" s="59" t="s">
        <v>559</v>
      </c>
    </row>
    <row r="112" spans="2:5" x14ac:dyDescent="0.35">
      <c r="B112" s="59" t="s">
        <v>558</v>
      </c>
      <c r="C112" s="59" t="s">
        <v>791</v>
      </c>
      <c r="D112" s="4" t="s">
        <v>792</v>
      </c>
      <c r="E112" s="59" t="s">
        <v>559</v>
      </c>
    </row>
    <row r="113" spans="2:5" x14ac:dyDescent="0.35">
      <c r="B113" s="59" t="s">
        <v>558</v>
      </c>
      <c r="C113" s="59" t="s">
        <v>858</v>
      </c>
      <c r="D113" s="4" t="s">
        <v>859</v>
      </c>
      <c r="E113" s="59" t="s">
        <v>559</v>
      </c>
    </row>
    <row r="114" spans="2:5" x14ac:dyDescent="0.35">
      <c r="B114" s="59" t="s">
        <v>558</v>
      </c>
      <c r="C114" s="59" t="s">
        <v>566</v>
      </c>
      <c r="D114" s="4" t="s">
        <v>567</v>
      </c>
      <c r="E114" s="59" t="s">
        <v>559</v>
      </c>
    </row>
    <row r="115" spans="2:5" x14ac:dyDescent="0.35">
      <c r="B115" s="59" t="s">
        <v>558</v>
      </c>
      <c r="C115" s="59" t="s">
        <v>568</v>
      </c>
      <c r="D115" s="4" t="s">
        <v>569</v>
      </c>
      <c r="E115" s="59" t="s">
        <v>559</v>
      </c>
    </row>
    <row r="116" spans="2:5" x14ac:dyDescent="0.35">
      <c r="B116" s="59" t="s">
        <v>558</v>
      </c>
      <c r="C116" s="59" t="s">
        <v>809</v>
      </c>
      <c r="D116" s="4" t="s">
        <v>810</v>
      </c>
      <c r="E116" s="59" t="s">
        <v>559</v>
      </c>
    </row>
    <row r="117" spans="2:5" x14ac:dyDescent="0.35">
      <c r="B117" s="59" t="s">
        <v>558</v>
      </c>
      <c r="C117" s="59" t="s">
        <v>815</v>
      </c>
      <c r="D117" s="4" t="s">
        <v>816</v>
      </c>
      <c r="E117" s="59" t="s">
        <v>559</v>
      </c>
    </row>
    <row r="118" spans="2:5" x14ac:dyDescent="0.35">
      <c r="B118" s="59" t="s">
        <v>558</v>
      </c>
      <c r="C118" s="59" t="s">
        <v>821</v>
      </c>
      <c r="D118" s="4" t="s">
        <v>822</v>
      </c>
      <c r="E118" s="59" t="s">
        <v>559</v>
      </c>
    </row>
    <row r="119" spans="2:5" x14ac:dyDescent="0.35">
      <c r="B119" s="59" t="s">
        <v>558</v>
      </c>
      <c r="C119" s="59" t="s">
        <v>846</v>
      </c>
      <c r="D119" s="4" t="s">
        <v>847</v>
      </c>
      <c r="E119" s="59" t="s">
        <v>559</v>
      </c>
    </row>
    <row r="120" spans="2:5" x14ac:dyDescent="0.35">
      <c r="B120" s="59" t="s">
        <v>558</v>
      </c>
      <c r="C120" s="59" t="s">
        <v>856</v>
      </c>
      <c r="D120" s="4" t="s">
        <v>857</v>
      </c>
      <c r="E120" s="59" t="s">
        <v>559</v>
      </c>
    </row>
    <row r="121" spans="2:5" x14ac:dyDescent="0.35">
      <c r="B121" s="59" t="s">
        <v>558</v>
      </c>
      <c r="C121" s="59" t="s">
        <v>864</v>
      </c>
      <c r="D121" s="4" t="s">
        <v>865</v>
      </c>
      <c r="E121" s="59" t="s">
        <v>559</v>
      </c>
    </row>
    <row r="122" spans="2:5" x14ac:dyDescent="0.35">
      <c r="B122" s="59" t="s">
        <v>558</v>
      </c>
      <c r="C122" s="59" t="s">
        <v>880</v>
      </c>
      <c r="D122" s="4" t="s">
        <v>881</v>
      </c>
      <c r="E122" s="59" t="s">
        <v>559</v>
      </c>
    </row>
    <row r="123" spans="2:5" x14ac:dyDescent="0.35">
      <c r="B123" s="59" t="s">
        <v>558</v>
      </c>
      <c r="C123" s="59" t="s">
        <v>884</v>
      </c>
      <c r="D123" s="4" t="s">
        <v>885</v>
      </c>
      <c r="E123" s="59" t="s">
        <v>559</v>
      </c>
    </row>
    <row r="124" spans="2:5" x14ac:dyDescent="0.35">
      <c r="B124" s="59" t="s">
        <v>558</v>
      </c>
      <c r="C124" s="59" t="s">
        <v>906</v>
      </c>
      <c r="D124" s="4" t="s">
        <v>907</v>
      </c>
      <c r="E124" s="59" t="s">
        <v>559</v>
      </c>
    </row>
    <row r="125" spans="2:5" x14ac:dyDescent="0.35">
      <c r="B125" s="59" t="s">
        <v>570</v>
      </c>
      <c r="C125" s="59" t="s">
        <v>597</v>
      </c>
      <c r="D125" s="4" t="s">
        <v>598</v>
      </c>
      <c r="E125" s="59" t="s">
        <v>571</v>
      </c>
    </row>
    <row r="126" spans="2:5" x14ac:dyDescent="0.35">
      <c r="B126" s="59" t="s">
        <v>570</v>
      </c>
      <c r="C126" s="59" t="s">
        <v>603</v>
      </c>
      <c r="D126" s="4" t="s">
        <v>604</v>
      </c>
      <c r="E126" s="59" t="s">
        <v>571</v>
      </c>
    </row>
    <row r="127" spans="2:5" x14ac:dyDescent="0.35">
      <c r="B127" s="59" t="s">
        <v>570</v>
      </c>
      <c r="C127" s="59" t="s">
        <v>609</v>
      </c>
      <c r="D127" s="4" t="s">
        <v>610</v>
      </c>
      <c r="E127" s="59" t="s">
        <v>571</v>
      </c>
    </row>
    <row r="128" spans="2:5" x14ac:dyDescent="0.35">
      <c r="B128" s="59" t="s">
        <v>570</v>
      </c>
      <c r="C128" s="59" t="s">
        <v>613</v>
      </c>
      <c r="D128" s="4" t="s">
        <v>614</v>
      </c>
      <c r="E128" s="59" t="s">
        <v>571</v>
      </c>
    </row>
    <row r="129" spans="2:5" x14ac:dyDescent="0.35">
      <c r="B129" s="59" t="s">
        <v>570</v>
      </c>
      <c r="C129" s="59" t="s">
        <v>615</v>
      </c>
      <c r="D129" s="4" t="s">
        <v>616</v>
      </c>
      <c r="E129" s="59" t="s">
        <v>571</v>
      </c>
    </row>
    <row r="130" spans="2:5" x14ac:dyDescent="0.35">
      <c r="B130" s="59" t="s">
        <v>570</v>
      </c>
      <c r="C130" s="59" t="s">
        <v>623</v>
      </c>
      <c r="D130" s="4" t="s">
        <v>624</v>
      </c>
      <c r="E130" s="59" t="s">
        <v>571</v>
      </c>
    </row>
    <row r="131" spans="2:5" x14ac:dyDescent="0.35">
      <c r="B131" s="59" t="s">
        <v>570</v>
      </c>
      <c r="C131" s="59" t="s">
        <v>625</v>
      </c>
      <c r="D131" s="4" t="s">
        <v>626</v>
      </c>
      <c r="E131" s="59" t="s">
        <v>571</v>
      </c>
    </row>
    <row r="132" spans="2:5" x14ac:dyDescent="0.35">
      <c r="B132" s="59" t="s">
        <v>570</v>
      </c>
      <c r="C132" s="59" t="s">
        <v>572</v>
      </c>
      <c r="D132" s="4" t="s">
        <v>573</v>
      </c>
      <c r="E132" s="59" t="s">
        <v>571</v>
      </c>
    </row>
    <row r="133" spans="2:5" x14ac:dyDescent="0.35">
      <c r="B133" s="59" t="s">
        <v>570</v>
      </c>
      <c r="C133" s="59" t="s">
        <v>639</v>
      </c>
      <c r="D133" s="4" t="s">
        <v>640</v>
      </c>
      <c r="E133" s="59" t="s">
        <v>571</v>
      </c>
    </row>
    <row r="134" spans="2:5" x14ac:dyDescent="0.35">
      <c r="B134" s="59" t="s">
        <v>570</v>
      </c>
      <c r="C134" s="59" t="s">
        <v>667</v>
      </c>
      <c r="D134" s="4" t="s">
        <v>668</v>
      </c>
      <c r="E134" s="59" t="s">
        <v>571</v>
      </c>
    </row>
    <row r="135" spans="2:5" x14ac:dyDescent="0.35">
      <c r="B135" s="59" t="s">
        <v>570</v>
      </c>
      <c r="C135" s="59" t="s">
        <v>671</v>
      </c>
      <c r="D135" s="4" t="s">
        <v>672</v>
      </c>
      <c r="E135" s="59" t="s">
        <v>571</v>
      </c>
    </row>
    <row r="136" spans="2:5" x14ac:dyDescent="0.35">
      <c r="B136" s="59" t="s">
        <v>570</v>
      </c>
      <c r="C136" s="59" t="s">
        <v>673</v>
      </c>
      <c r="D136" s="4" t="s">
        <v>674</v>
      </c>
      <c r="E136" s="59" t="s">
        <v>571</v>
      </c>
    </row>
    <row r="137" spans="2:5" x14ac:dyDescent="0.35">
      <c r="B137" s="59" t="s">
        <v>570</v>
      </c>
      <c r="C137" s="59" t="s">
        <v>675</v>
      </c>
      <c r="D137" s="4" t="s">
        <v>676</v>
      </c>
      <c r="E137" s="59" t="s">
        <v>571</v>
      </c>
    </row>
    <row r="138" spans="2:5" x14ac:dyDescent="0.35">
      <c r="B138" s="59" t="s">
        <v>570</v>
      </c>
      <c r="C138" s="59" t="s">
        <v>691</v>
      </c>
      <c r="D138" s="4" t="s">
        <v>692</v>
      </c>
      <c r="E138" s="59" t="s">
        <v>571</v>
      </c>
    </row>
    <row r="139" spans="2:5" x14ac:dyDescent="0.35">
      <c r="B139" s="59" t="s">
        <v>570</v>
      </c>
      <c r="C139" s="59" t="s">
        <v>699</v>
      </c>
      <c r="D139" s="4" t="s">
        <v>700</v>
      </c>
      <c r="E139" s="59" t="s">
        <v>571</v>
      </c>
    </row>
    <row r="140" spans="2:5" x14ac:dyDescent="0.35">
      <c r="B140" s="59" t="s">
        <v>570</v>
      </c>
      <c r="C140" s="59" t="s">
        <v>701</v>
      </c>
      <c r="D140" s="4" t="s">
        <v>702</v>
      </c>
      <c r="E140" s="59" t="s">
        <v>571</v>
      </c>
    </row>
    <row r="141" spans="2:5" x14ac:dyDescent="0.35">
      <c r="B141" s="59" t="s">
        <v>570</v>
      </c>
      <c r="C141" s="59" t="s">
        <v>574</v>
      </c>
      <c r="D141" s="4" t="s">
        <v>575</v>
      </c>
      <c r="E141" s="59" t="s">
        <v>571</v>
      </c>
    </row>
    <row r="142" spans="2:5" x14ac:dyDescent="0.35">
      <c r="B142" s="59" t="s">
        <v>570</v>
      </c>
      <c r="C142" s="59" t="s">
        <v>707</v>
      </c>
      <c r="D142" s="4" t="s">
        <v>708</v>
      </c>
      <c r="E142" s="59" t="s">
        <v>571</v>
      </c>
    </row>
    <row r="143" spans="2:5" x14ac:dyDescent="0.35">
      <c r="B143" s="59" t="s">
        <v>570</v>
      </c>
      <c r="C143" s="59" t="s">
        <v>860</v>
      </c>
      <c r="D143" s="4" t="s">
        <v>861</v>
      </c>
      <c r="E143" s="59" t="s">
        <v>571</v>
      </c>
    </row>
    <row r="144" spans="2:5" x14ac:dyDescent="0.35">
      <c r="B144" s="59" t="s">
        <v>570</v>
      </c>
      <c r="C144" s="59" t="s">
        <v>576</v>
      </c>
      <c r="D144" s="4" t="s">
        <v>577</v>
      </c>
      <c r="E144" s="59" t="s">
        <v>571</v>
      </c>
    </row>
    <row r="145" spans="2:5" x14ac:dyDescent="0.35">
      <c r="B145" s="59" t="s">
        <v>570</v>
      </c>
      <c r="C145" s="59" t="s">
        <v>578</v>
      </c>
      <c r="D145" s="4" t="s">
        <v>579</v>
      </c>
      <c r="E145" s="59" t="s">
        <v>571</v>
      </c>
    </row>
    <row r="146" spans="2:5" x14ac:dyDescent="0.35">
      <c r="B146" s="59" t="s">
        <v>570</v>
      </c>
      <c r="C146" s="59" t="s">
        <v>580</v>
      </c>
      <c r="D146" s="4" t="s">
        <v>581</v>
      </c>
      <c r="E146" s="59" t="s">
        <v>571</v>
      </c>
    </row>
    <row r="147" spans="2:5" x14ac:dyDescent="0.35">
      <c r="B147" s="59" t="s">
        <v>570</v>
      </c>
      <c r="C147" s="59" t="s">
        <v>731</v>
      </c>
      <c r="D147" s="4" t="s">
        <v>732</v>
      </c>
      <c r="E147" s="59" t="s">
        <v>571</v>
      </c>
    </row>
    <row r="148" spans="2:5" x14ac:dyDescent="0.35">
      <c r="B148" s="59" t="s">
        <v>570</v>
      </c>
      <c r="C148" s="59" t="s">
        <v>735</v>
      </c>
      <c r="D148" s="4" t="s">
        <v>736</v>
      </c>
      <c r="E148" s="59" t="s">
        <v>571</v>
      </c>
    </row>
    <row r="149" spans="2:5" x14ac:dyDescent="0.35">
      <c r="B149" s="59" t="s">
        <v>570</v>
      </c>
      <c r="C149" s="59" t="s">
        <v>743</v>
      </c>
      <c r="D149" s="4" t="s">
        <v>744</v>
      </c>
      <c r="E149" s="59" t="s">
        <v>571</v>
      </c>
    </row>
    <row r="150" spans="2:5" x14ac:dyDescent="0.35">
      <c r="B150" s="59" t="s">
        <v>570</v>
      </c>
      <c r="C150" s="59" t="s">
        <v>745</v>
      </c>
      <c r="D150" s="4" t="s">
        <v>746</v>
      </c>
      <c r="E150" s="59" t="s">
        <v>571</v>
      </c>
    </row>
    <row r="151" spans="2:5" x14ac:dyDescent="0.35">
      <c r="B151" s="59" t="s">
        <v>570</v>
      </c>
      <c r="C151" s="59" t="s">
        <v>755</v>
      </c>
      <c r="D151" s="4" t="s">
        <v>756</v>
      </c>
      <c r="E151" s="59" t="s">
        <v>571</v>
      </c>
    </row>
    <row r="152" spans="2:5" x14ac:dyDescent="0.35">
      <c r="B152" s="59" t="s">
        <v>570</v>
      </c>
      <c r="C152" s="59" t="s">
        <v>757</v>
      </c>
      <c r="D152" s="4" t="s">
        <v>758</v>
      </c>
      <c r="E152" s="59" t="s">
        <v>571</v>
      </c>
    </row>
    <row r="153" spans="2:5" x14ac:dyDescent="0.35">
      <c r="B153" s="59" t="s">
        <v>570</v>
      </c>
      <c r="C153" s="59" t="s">
        <v>759</v>
      </c>
      <c r="D153" s="4" t="s">
        <v>760</v>
      </c>
      <c r="E153" s="59" t="s">
        <v>571</v>
      </c>
    </row>
    <row r="154" spans="2:5" x14ac:dyDescent="0.35">
      <c r="B154" s="59" t="s">
        <v>570</v>
      </c>
      <c r="C154" s="59" t="s">
        <v>771</v>
      </c>
      <c r="D154" s="4" t="s">
        <v>772</v>
      </c>
      <c r="E154" s="59" t="s">
        <v>571</v>
      </c>
    </row>
    <row r="155" spans="2:5" x14ac:dyDescent="0.35">
      <c r="B155" s="59" t="s">
        <v>570</v>
      </c>
      <c r="C155" s="59" t="s">
        <v>783</v>
      </c>
      <c r="D155" s="4" t="s">
        <v>784</v>
      </c>
      <c r="E155" s="59" t="s">
        <v>571</v>
      </c>
    </row>
    <row r="156" spans="2:5" x14ac:dyDescent="0.35">
      <c r="B156" s="59" t="s">
        <v>570</v>
      </c>
      <c r="C156" s="59" t="s">
        <v>795</v>
      </c>
      <c r="D156" s="4" t="s">
        <v>796</v>
      </c>
      <c r="E156" s="59" t="s">
        <v>571</v>
      </c>
    </row>
    <row r="157" spans="2:5" x14ac:dyDescent="0.35">
      <c r="B157" s="59" t="s">
        <v>570</v>
      </c>
      <c r="C157" s="59" t="s">
        <v>803</v>
      </c>
      <c r="D157" s="4" t="s">
        <v>804</v>
      </c>
      <c r="E157" s="59" t="s">
        <v>571</v>
      </c>
    </row>
    <row r="158" spans="2:5" x14ac:dyDescent="0.35">
      <c r="B158" s="59" t="s">
        <v>570</v>
      </c>
      <c r="C158" s="59" t="s">
        <v>805</v>
      </c>
      <c r="D158" s="4" t="s">
        <v>806</v>
      </c>
      <c r="E158" s="59" t="s">
        <v>571</v>
      </c>
    </row>
    <row r="159" spans="2:5" x14ac:dyDescent="0.35">
      <c r="B159" s="59" t="s">
        <v>570</v>
      </c>
      <c r="C159" s="59" t="s">
        <v>823</v>
      </c>
      <c r="D159" s="4" t="s">
        <v>824</v>
      </c>
      <c r="E159" s="59" t="s">
        <v>571</v>
      </c>
    </row>
    <row r="160" spans="2:5" x14ac:dyDescent="0.35">
      <c r="B160" s="59" t="s">
        <v>570</v>
      </c>
      <c r="C160" s="59" t="s">
        <v>825</v>
      </c>
      <c r="D160" s="4" t="s">
        <v>826</v>
      </c>
      <c r="E160" s="59" t="s">
        <v>571</v>
      </c>
    </row>
    <row r="161" spans="2:5" x14ac:dyDescent="0.35">
      <c r="B161" s="59" t="s">
        <v>570</v>
      </c>
      <c r="C161" s="59" t="s">
        <v>582</v>
      </c>
      <c r="D161" s="4" t="s">
        <v>583</v>
      </c>
      <c r="E161" s="59" t="s">
        <v>571</v>
      </c>
    </row>
    <row r="162" spans="2:5" x14ac:dyDescent="0.35">
      <c r="B162" s="59" t="s">
        <v>570</v>
      </c>
      <c r="C162" s="59" t="s">
        <v>832</v>
      </c>
      <c r="D162" s="4" t="s">
        <v>833</v>
      </c>
      <c r="E162" s="59" t="s">
        <v>571</v>
      </c>
    </row>
    <row r="163" spans="2:5" x14ac:dyDescent="0.35">
      <c r="B163" s="59" t="s">
        <v>570</v>
      </c>
      <c r="C163" s="59" t="s">
        <v>840</v>
      </c>
      <c r="D163" s="4" t="s">
        <v>841</v>
      </c>
      <c r="E163" s="59" t="s">
        <v>571</v>
      </c>
    </row>
    <row r="164" spans="2:5" x14ac:dyDescent="0.35">
      <c r="B164" s="59" t="s">
        <v>570</v>
      </c>
      <c r="C164" s="59" t="s">
        <v>848</v>
      </c>
      <c r="D164" s="4" t="s">
        <v>849</v>
      </c>
      <c r="E164" s="59" t="s">
        <v>571</v>
      </c>
    </row>
    <row r="165" spans="2:5" x14ac:dyDescent="0.35">
      <c r="B165" s="59" t="s">
        <v>570</v>
      </c>
      <c r="C165" s="59" t="s">
        <v>850</v>
      </c>
      <c r="D165" s="4" t="s">
        <v>851</v>
      </c>
      <c r="E165" s="59" t="s">
        <v>571</v>
      </c>
    </row>
    <row r="166" spans="2:5" x14ac:dyDescent="0.35">
      <c r="B166" s="59" t="s">
        <v>570</v>
      </c>
      <c r="C166" s="59" t="s">
        <v>862</v>
      </c>
      <c r="D166" s="4" t="s">
        <v>863</v>
      </c>
      <c r="E166" s="59" t="s">
        <v>571</v>
      </c>
    </row>
    <row r="167" spans="2:5" x14ac:dyDescent="0.35">
      <c r="B167" s="59" t="s">
        <v>570</v>
      </c>
      <c r="C167" s="59" t="s">
        <v>870</v>
      </c>
      <c r="D167" s="4" t="s">
        <v>871</v>
      </c>
      <c r="E167" s="59" t="s">
        <v>571</v>
      </c>
    </row>
    <row r="168" spans="2:5" x14ac:dyDescent="0.35">
      <c r="B168" s="59" t="s">
        <v>570</v>
      </c>
      <c r="C168" s="59" t="s">
        <v>872</v>
      </c>
      <c r="D168" s="4" t="s">
        <v>873</v>
      </c>
      <c r="E168" s="59" t="s">
        <v>571</v>
      </c>
    </row>
    <row r="169" spans="2:5" x14ac:dyDescent="0.35">
      <c r="B169" s="59" t="s">
        <v>570</v>
      </c>
      <c r="C169" s="59" t="s">
        <v>876</v>
      </c>
      <c r="D169" s="4" t="s">
        <v>877</v>
      </c>
      <c r="E169" s="59" t="s">
        <v>571</v>
      </c>
    </row>
    <row r="170" spans="2:5" x14ac:dyDescent="0.35">
      <c r="B170" s="59" t="s">
        <v>570</v>
      </c>
      <c r="C170" s="59" t="s">
        <v>890</v>
      </c>
      <c r="D170" s="4" t="s">
        <v>891</v>
      </c>
      <c r="E170" s="59" t="s">
        <v>571</v>
      </c>
    </row>
    <row r="171" spans="2:5" x14ac:dyDescent="0.35">
      <c r="B171" s="59" t="s">
        <v>570</v>
      </c>
      <c r="C171" s="59" t="s">
        <v>584</v>
      </c>
      <c r="D171" s="4" t="s">
        <v>585</v>
      </c>
      <c r="E171" s="59" t="s">
        <v>571</v>
      </c>
    </row>
    <row r="172" spans="2:5" x14ac:dyDescent="0.35">
      <c r="B172" s="59" t="s">
        <v>570</v>
      </c>
      <c r="C172" s="59" t="s">
        <v>896</v>
      </c>
      <c r="D172" s="4" t="s">
        <v>897</v>
      </c>
      <c r="E172" s="59" t="s">
        <v>571</v>
      </c>
    </row>
    <row r="173" spans="2:5" x14ac:dyDescent="0.35">
      <c r="B173" s="59" t="s">
        <v>570</v>
      </c>
      <c r="C173" s="59" t="s">
        <v>586</v>
      </c>
      <c r="D173" s="4" t="s">
        <v>587</v>
      </c>
      <c r="E173" s="59" t="s">
        <v>571</v>
      </c>
    </row>
    <row r="174" spans="2:5" x14ac:dyDescent="0.35">
      <c r="B174" s="59" t="s">
        <v>570</v>
      </c>
      <c r="C174" s="59" t="s">
        <v>902</v>
      </c>
      <c r="D174" s="4" t="s">
        <v>903</v>
      </c>
      <c r="E174" s="59" t="s">
        <v>571</v>
      </c>
    </row>
    <row r="175" spans="2:5" x14ac:dyDescent="0.35">
      <c r="B175" s="59" t="s">
        <v>570</v>
      </c>
      <c r="C175" s="59" t="s">
        <v>588</v>
      </c>
      <c r="D175" s="4" t="s">
        <v>589</v>
      </c>
      <c r="E175" s="59" t="s">
        <v>571</v>
      </c>
    </row>
    <row r="176" spans="2:5" x14ac:dyDescent="0.35">
      <c r="B176" s="59" t="s">
        <v>590</v>
      </c>
      <c r="C176" s="59" t="s">
        <v>619</v>
      </c>
      <c r="D176" s="4" t="s">
        <v>620</v>
      </c>
      <c r="E176" s="59" t="s">
        <v>916</v>
      </c>
    </row>
    <row r="177" spans="2:5" x14ac:dyDescent="0.35">
      <c r="B177" s="59" t="s">
        <v>590</v>
      </c>
      <c r="C177" s="59" t="s">
        <v>741</v>
      </c>
      <c r="D177" s="4" t="s">
        <v>742</v>
      </c>
      <c r="E177" s="59" t="s">
        <v>916</v>
      </c>
    </row>
    <row r="178" spans="2:5" x14ac:dyDescent="0.35">
      <c r="B178" s="59" t="s">
        <v>590</v>
      </c>
      <c r="C178" s="59" t="s">
        <v>807</v>
      </c>
      <c r="D178" s="4" t="s">
        <v>808</v>
      </c>
      <c r="E178" s="59" t="s">
        <v>916</v>
      </c>
    </row>
    <row r="179" spans="2:5" x14ac:dyDescent="0.35">
      <c r="B179" s="59" t="s">
        <v>590</v>
      </c>
      <c r="C179" s="59" t="s">
        <v>829</v>
      </c>
      <c r="D179" s="4" t="s">
        <v>830</v>
      </c>
      <c r="E179" s="59" t="s">
        <v>916</v>
      </c>
    </row>
    <row r="180" spans="2:5" x14ac:dyDescent="0.35">
      <c r="B180" s="59" t="s">
        <v>590</v>
      </c>
      <c r="C180" s="59" t="s">
        <v>892</v>
      </c>
      <c r="D180" s="4" t="s">
        <v>893</v>
      </c>
      <c r="E180" s="59" t="s">
        <v>916</v>
      </c>
    </row>
    <row r="181" spans="2:5" x14ac:dyDescent="0.35">
      <c r="B181" s="59" t="s">
        <v>591</v>
      </c>
      <c r="C181" s="59" t="s">
        <v>683</v>
      </c>
      <c r="D181" s="4" t="s">
        <v>684</v>
      </c>
      <c r="E181" s="59" t="s">
        <v>917</v>
      </c>
    </row>
    <row r="182" spans="2:5" x14ac:dyDescent="0.35">
      <c r="B182" s="59" t="s">
        <v>591</v>
      </c>
      <c r="C182" s="59" t="s">
        <v>729</v>
      </c>
      <c r="D182" s="4" t="s">
        <v>730</v>
      </c>
      <c r="E182" s="59" t="s">
        <v>917</v>
      </c>
    </row>
    <row r="183" spans="2:5" x14ac:dyDescent="0.35">
      <c r="B183" s="59" t="s">
        <v>591</v>
      </c>
      <c r="C183" s="59" t="s">
        <v>733</v>
      </c>
      <c r="D183" s="4" t="s">
        <v>734</v>
      </c>
      <c r="E183" s="59" t="s">
        <v>917</v>
      </c>
    </row>
    <row r="184" spans="2:5" x14ac:dyDescent="0.35">
      <c r="B184" s="59" t="s">
        <v>591</v>
      </c>
      <c r="C184" s="59" t="s">
        <v>747</v>
      </c>
      <c r="D184" s="4" t="s">
        <v>748</v>
      </c>
      <c r="E184" s="59" t="s">
        <v>917</v>
      </c>
    </row>
    <row r="185" spans="2:5" x14ac:dyDescent="0.35">
      <c r="B185" s="59" t="s">
        <v>591</v>
      </c>
      <c r="C185" s="59" t="s">
        <v>753</v>
      </c>
      <c r="D185" s="4" t="s">
        <v>754</v>
      </c>
      <c r="E185" s="59" t="s">
        <v>917</v>
      </c>
    </row>
    <row r="186" spans="2:5" x14ac:dyDescent="0.35">
      <c r="B186" s="59" t="s">
        <v>591</v>
      </c>
      <c r="C186" s="59" t="s">
        <v>811</v>
      </c>
      <c r="D186" s="4" t="s">
        <v>812</v>
      </c>
      <c r="E186" s="59" t="s">
        <v>917</v>
      </c>
    </row>
    <row r="187" spans="2:5" x14ac:dyDescent="0.35">
      <c r="B187" s="59" t="s">
        <v>591</v>
      </c>
      <c r="C187" s="59" t="s">
        <v>874</v>
      </c>
      <c r="D187" s="4" t="s">
        <v>875</v>
      </c>
      <c r="E187" s="59" t="s">
        <v>917</v>
      </c>
    </row>
    <row r="188" spans="2:5" x14ac:dyDescent="0.35">
      <c r="B188" s="59" t="s">
        <v>591</v>
      </c>
      <c r="C188" s="59" t="s">
        <v>910</v>
      </c>
      <c r="D188" s="4" t="s">
        <v>911</v>
      </c>
      <c r="E188" s="59" t="s">
        <v>917</v>
      </c>
    </row>
    <row r="189" spans="2:5" x14ac:dyDescent="0.35">
      <c r="B189" s="59" t="s">
        <v>592</v>
      </c>
      <c r="C189" s="59" t="s">
        <v>593</v>
      </c>
      <c r="D189" s="4" t="s">
        <v>594</v>
      </c>
      <c r="E189" s="59" t="s">
        <v>284</v>
      </c>
    </row>
    <row r="190" spans="2:5" x14ac:dyDescent="0.35">
      <c r="B190" s="59" t="s">
        <v>592</v>
      </c>
      <c r="C190" s="59" t="s">
        <v>836</v>
      </c>
      <c r="D190" s="4" t="s">
        <v>837</v>
      </c>
      <c r="E190" s="59" t="s">
        <v>284</v>
      </c>
    </row>
  </sheetData>
  <sortState xmlns:xlrd2="http://schemas.microsoft.com/office/spreadsheetml/2017/richdata2" ref="B5:E190">
    <sortCondition ref="B5:B19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D1B992E4D1DD64F83A61DC354AC4D5E" ma:contentTypeVersion="4" ma:contentTypeDescription="Create a new document." ma:contentTypeScope="" ma:versionID="c134102e2f782bb80fe1108f2e52b928">
  <xsd:schema xmlns:xsd="http://www.w3.org/2001/XMLSchema" xmlns:xs="http://www.w3.org/2001/XMLSchema" xmlns:p="http://schemas.microsoft.com/office/2006/metadata/properties" xmlns:ns2="b10e9e5d-bf3f-437b-b9e9-15c4054e6645" targetNamespace="http://schemas.microsoft.com/office/2006/metadata/properties" ma:root="true" ma:fieldsID="0a889b27e32fb6d02ccbf1f3ae6e98aa" ns2:_="">
    <xsd:import namespace="b10e9e5d-bf3f-437b-b9e9-15c4054e664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0e9e5d-bf3f-437b-b9e9-15c4054e66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D8869B-4ACA-4268-B576-DF2B321EA556}">
  <ds:schemaRefs>
    <ds:schemaRef ds:uri="http://schemas.microsoft.com/sharepoint/v3/contenttype/forms"/>
  </ds:schemaRefs>
</ds:datastoreItem>
</file>

<file path=customXml/itemProps2.xml><?xml version="1.0" encoding="utf-8"?>
<ds:datastoreItem xmlns:ds="http://schemas.openxmlformats.org/officeDocument/2006/customXml" ds:itemID="{E476C044-F937-458F-B51D-F175A9A76C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0e9e5d-bf3f-437b-b9e9-15c4054e66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31AA8B-5991-429B-B3F6-1165F2C257FA}">
  <ds:schemaRefs>
    <ds:schemaRef ds:uri="http://purl.org/dc/dcmitype/"/>
    <ds:schemaRef ds:uri="http://schemas.microsoft.com/office/2006/documentManagement/types"/>
    <ds:schemaRef ds:uri="http://purl.org/dc/terms/"/>
    <ds:schemaRef ds:uri="http://www.w3.org/XML/1998/namespace"/>
    <ds:schemaRef ds:uri="http://purl.org/dc/elements/1.1/"/>
    <ds:schemaRef ds:uri="http://schemas.openxmlformats.org/package/2006/metadata/core-properties"/>
    <ds:schemaRef ds:uri="http://schemas.microsoft.com/office/infopath/2007/PartnerControls"/>
    <ds:schemaRef ds:uri="b10e9e5d-bf3f-437b-b9e9-15c4054e6645"/>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Content</vt:lpstr>
      <vt:lpstr>G1</vt:lpstr>
      <vt:lpstr>G2</vt:lpstr>
      <vt:lpstr>I1</vt:lpstr>
      <vt:lpstr>I2</vt:lpstr>
      <vt:lpstr>I3</vt:lpstr>
      <vt:lpstr>I4</vt:lpstr>
      <vt:lpstr>I5</vt:lpstr>
      <vt:lpstr>I6</vt:lpstr>
      <vt:lpstr>I7</vt:lpstr>
      <vt:lpstr>I8</vt:lpstr>
      <vt:lpstr>I9</vt:lpstr>
      <vt:lpstr>D1</vt:lpstr>
      <vt:lpstr>D2</vt:lpstr>
      <vt:lpstr>D3</vt:lpstr>
      <vt:lpstr>D4</vt:lpstr>
      <vt:lpstr>D5</vt:lpstr>
      <vt:lpstr>D6</vt:lpstr>
      <vt:lpstr>D7</vt:lpstr>
      <vt:lpstr>D8</vt:lpstr>
      <vt:lpstr>S1</vt:lpstr>
      <vt:lpstr>Definitions</vt:lpstr>
      <vt:lpstr>Metadata</vt:lpstr>
      <vt:lpstr>LIST OF COUNTRIES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Hajar A. Al-Zamil | هاجر الزامل</dc:creator>
  <cp:lastModifiedBy>Hajar A. Al-Zamil | هاجر الزامل</cp:lastModifiedBy>
  <dcterms:created xsi:type="dcterms:W3CDTF">2020-12-23T07:57:07Z</dcterms:created>
  <dcterms:modified xsi:type="dcterms:W3CDTF">2026-08-23T08:30:19Z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0x0101004D1B992E4D1DD64F83A61DC354AC4D5E</vt:lpwstr>
  </property>
  <property fmtid="{D5CDD505-2E9C-101B-9397-08002B2CF9AE}" pid="3" name="MSIP_Label_cdb2f9b6-c019-4a1d-92bd-8b6b5e4cd113_Enabled">
    <vt:lpwstr>true</vt:lpwstr>
  </property>
  <property fmtid="{D5CDD505-2E9C-101B-9397-08002B2CF9AE}" pid="4" name="MSIP_Label_cdb2f9b6-c019-4a1d-92bd-8b6b5e4cd113_SetDate">
    <vt:lpwstr>2022-11-17T12:33:10Z</vt:lpwstr>
  </property>
  <property fmtid="{D5CDD505-2E9C-101B-9397-08002B2CF9AE}" pid="5" name="MSIP_Label_cdb2f9b6-c019-4a1d-92bd-8b6b5e4cd113_Method">
    <vt:lpwstr>Standard</vt:lpwstr>
  </property>
  <property fmtid="{D5CDD505-2E9C-101B-9397-08002B2CF9AE}" pid="6" name="MSIP_Label_cdb2f9b6-c019-4a1d-92bd-8b6b5e4cd113_Name">
    <vt:lpwstr>Confidential - Everyone Use Editable</vt:lpwstr>
  </property>
  <property fmtid="{D5CDD505-2E9C-101B-9397-08002B2CF9AE}" pid="7" name="MSIP_Label_cdb2f9b6-c019-4a1d-92bd-8b6b5e4cd113_SiteId">
    <vt:lpwstr>ff15e738-5482-43ed-8edb-d38d79c00011</vt:lpwstr>
  </property>
  <property fmtid="{D5CDD505-2E9C-101B-9397-08002B2CF9AE}" pid="8" name="MSIP_Label_cdb2f9b6-c019-4a1d-92bd-8b6b5e4cd113_ActionId">
    <vt:lpwstr>29a1badf-6545-4d21-bceb-9a1bf86015ff</vt:lpwstr>
  </property>
  <property fmtid="{D5CDD505-2E9C-101B-9397-08002B2CF9AE}" pid="9" name="MSIP_Label_cdb2f9b6-c019-4a1d-92bd-8b6b5e4cd113_ContentBits">
    <vt:lpwstr>2</vt:lpwstr>
  </property>
</Properties>
</file>